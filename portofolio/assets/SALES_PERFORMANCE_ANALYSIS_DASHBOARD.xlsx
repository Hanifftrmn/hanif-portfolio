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xampp\htdocs\portofolio\assets\"/>
    </mc:Choice>
  </mc:AlternateContent>
  <xr:revisionPtr revIDLastSave="0" documentId="13_ncr:1_{782EA73F-057B-4FD5-AA1B-8717E2EC42D7}" xr6:coauthVersionLast="47" xr6:coauthVersionMax="47" xr10:uidLastSave="{00000000-0000-0000-0000-000000000000}"/>
  <bookViews>
    <workbookView xWindow="-110" yWindow="-110" windowWidth="19420" windowHeight="10300" firstSheet="2" activeTab="2" xr2:uid="{00000000-000D-0000-FFFF-FFFF00000000}"/>
  </bookViews>
  <sheets>
    <sheet name="Data Penjualan" sheetId="1" state="hidden" r:id="rId1"/>
    <sheet name="Pivot" sheetId="7" state="hidden" r:id="rId2"/>
    <sheet name="Dashboard" sheetId="6" r:id="rId3"/>
  </sheets>
  <definedNames>
    <definedName name="_xlnm._FilterDatabase" localSheetId="0" hidden="1">'Data Penjualan'!$A$1:$K$101</definedName>
    <definedName name="Slicer_Channel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alcChain>
</file>

<file path=xl/sharedStrings.xml><?xml version="1.0" encoding="utf-8"?>
<sst xmlns="http://schemas.openxmlformats.org/spreadsheetml/2006/main" count="642" uniqueCount="147">
  <si>
    <t>ID Transaksi</t>
  </si>
  <si>
    <t>Tanggal</t>
  </si>
  <si>
    <t>Wilayah</t>
  </si>
  <si>
    <t>Sales</t>
  </si>
  <si>
    <t>Produk</t>
  </si>
  <si>
    <t>Qty</t>
  </si>
  <si>
    <t>Harga Satuan</t>
  </si>
  <si>
    <t>Diskon</t>
  </si>
  <si>
    <t>Total Penjualan</t>
  </si>
  <si>
    <t>Channel</t>
  </si>
  <si>
    <t>Status Pembayaran</t>
  </si>
  <si>
    <t>TRX-001</t>
  </si>
  <si>
    <t>Metro</t>
  </si>
  <si>
    <t>Budi</t>
  </si>
  <si>
    <t>Monitor</t>
  </si>
  <si>
    <t>Website</t>
  </si>
  <si>
    <t>Lunas</t>
  </si>
  <si>
    <t>TRX-002</t>
  </si>
  <si>
    <t>Bandar Lampung</t>
  </si>
  <si>
    <t>Andi</t>
  </si>
  <si>
    <t>Toko</t>
  </si>
  <si>
    <t>TRX-003</t>
  </si>
  <si>
    <t>Lampung Tengah</t>
  </si>
  <si>
    <t>Dina</t>
  </si>
  <si>
    <t>Laptop</t>
  </si>
  <si>
    <t>Belum Lunas</t>
  </si>
  <si>
    <t>TRX-004</t>
  </si>
  <si>
    <t>Lampung Selatan</t>
  </si>
  <si>
    <t>Citra</t>
  </si>
  <si>
    <t>Headset</t>
  </si>
  <si>
    <t>Marketplace</t>
  </si>
  <si>
    <t>TRX-005</t>
  </si>
  <si>
    <t>Webcam</t>
  </si>
  <si>
    <t>TRX-006</t>
  </si>
  <si>
    <t>Eko</t>
  </si>
  <si>
    <t>SSD</t>
  </si>
  <si>
    <t>TRX-007</t>
  </si>
  <si>
    <t>Mouse</t>
  </si>
  <si>
    <t>TRX-008</t>
  </si>
  <si>
    <t>Pringsewu</t>
  </si>
  <si>
    <t>Printer</t>
  </si>
  <si>
    <t>TRX-009</t>
  </si>
  <si>
    <t>TRX-010</t>
  </si>
  <si>
    <t>TRX-011</t>
  </si>
  <si>
    <t>TRX-012</t>
  </si>
  <si>
    <t>TRX-013</t>
  </si>
  <si>
    <t>TRX-014</t>
  </si>
  <si>
    <t>Keyboard</t>
  </si>
  <si>
    <t>TRX-015</t>
  </si>
  <si>
    <t>Fajar</t>
  </si>
  <si>
    <t>TRX-016</t>
  </si>
  <si>
    <t>TRX-017</t>
  </si>
  <si>
    <t>TRX-018</t>
  </si>
  <si>
    <t>TRX-019</t>
  </si>
  <si>
    <t>TRX-020</t>
  </si>
  <si>
    <t>TRX-021</t>
  </si>
  <si>
    <t>TRX-022</t>
  </si>
  <si>
    <t>TRX-023</t>
  </si>
  <si>
    <t>TRX-024</t>
  </si>
  <si>
    <t>TRX-025</t>
  </si>
  <si>
    <t>TRX-026</t>
  </si>
  <si>
    <t>TRX-027</t>
  </si>
  <si>
    <t>TRX-028</t>
  </si>
  <si>
    <t>TRX-029</t>
  </si>
  <si>
    <t>TRX-030</t>
  </si>
  <si>
    <t>TRX-031</t>
  </si>
  <si>
    <t>TRX-032</t>
  </si>
  <si>
    <t>TRX-033</t>
  </si>
  <si>
    <t>TRX-034</t>
  </si>
  <si>
    <t>TRX-035</t>
  </si>
  <si>
    <t>TRX-036</t>
  </si>
  <si>
    <t>TRX-037</t>
  </si>
  <si>
    <t>TRX-038</t>
  </si>
  <si>
    <t>TRX-039</t>
  </si>
  <si>
    <t>TRX-040</t>
  </si>
  <si>
    <t>TRX-041</t>
  </si>
  <si>
    <t>TRX-042</t>
  </si>
  <si>
    <t>TRX-043</t>
  </si>
  <si>
    <t>TRX-044</t>
  </si>
  <si>
    <t>TRX-045</t>
  </si>
  <si>
    <t>TRX-046</t>
  </si>
  <si>
    <t>TRX-047</t>
  </si>
  <si>
    <t>TRX-048</t>
  </si>
  <si>
    <t>TRX-049</t>
  </si>
  <si>
    <t>TRX-050</t>
  </si>
  <si>
    <t>TRX-051</t>
  </si>
  <si>
    <t>TRX-052</t>
  </si>
  <si>
    <t>TRX-053</t>
  </si>
  <si>
    <t>TRX-054</t>
  </si>
  <si>
    <t>TRX-055</t>
  </si>
  <si>
    <t>TRX-056</t>
  </si>
  <si>
    <t>TRX-057</t>
  </si>
  <si>
    <t>TRX-058</t>
  </si>
  <si>
    <t>TRX-059</t>
  </si>
  <si>
    <t>TRX-060</t>
  </si>
  <si>
    <t>TRX-061</t>
  </si>
  <si>
    <t>TRX-062</t>
  </si>
  <si>
    <t>TRX-063</t>
  </si>
  <si>
    <t>TRX-064</t>
  </si>
  <si>
    <t>TRX-065</t>
  </si>
  <si>
    <t>TRX-066</t>
  </si>
  <si>
    <t>TRX-067</t>
  </si>
  <si>
    <t>TRX-068</t>
  </si>
  <si>
    <t>TRX-069</t>
  </si>
  <si>
    <t>TRX-070</t>
  </si>
  <si>
    <t>TRX-071</t>
  </si>
  <si>
    <t>TRX-072</t>
  </si>
  <si>
    <t>TRX-073</t>
  </si>
  <si>
    <t>TRX-074</t>
  </si>
  <si>
    <t>TRX-075</t>
  </si>
  <si>
    <t>TRX-076</t>
  </si>
  <si>
    <t>TRX-077</t>
  </si>
  <si>
    <t>TRX-078</t>
  </si>
  <si>
    <t>TRX-079</t>
  </si>
  <si>
    <t>TRX-080</t>
  </si>
  <si>
    <t>TRX-081</t>
  </si>
  <si>
    <t>TRX-082</t>
  </si>
  <si>
    <t>TRX-083</t>
  </si>
  <si>
    <t>TRX-084</t>
  </si>
  <si>
    <t>TRX-085</t>
  </si>
  <si>
    <t>TRX-086</t>
  </si>
  <si>
    <t>TRX-087</t>
  </si>
  <si>
    <t>TRX-088</t>
  </si>
  <si>
    <t>TRX-089</t>
  </si>
  <si>
    <t>TRX-090</t>
  </si>
  <si>
    <t>TRX-091</t>
  </si>
  <si>
    <t>TRX-092</t>
  </si>
  <si>
    <t>TRX-093</t>
  </si>
  <si>
    <t>TRX-094</t>
  </si>
  <si>
    <t>TRX-095</t>
  </si>
  <si>
    <t>TRX-096</t>
  </si>
  <si>
    <t>TRX-097</t>
  </si>
  <si>
    <t>TRX-098</t>
  </si>
  <si>
    <t>TRX-099</t>
  </si>
  <si>
    <t>TRX-100</t>
  </si>
  <si>
    <t>Row Labels</t>
  </si>
  <si>
    <t>Sum of Total Penjualan</t>
  </si>
  <si>
    <t>Jan</t>
  </si>
  <si>
    <t>Feb</t>
  </si>
  <si>
    <t>Mar</t>
  </si>
  <si>
    <t>SALES PERFORMANCE DASHBOARD</t>
  </si>
  <si>
    <t>TOTAL PENJUALAN</t>
  </si>
  <si>
    <t>Rp 1,203,375,000</t>
  </si>
  <si>
    <t>TOTAL TRANSAKSI</t>
  </si>
  <si>
    <t>PRODUK TERLARIS</t>
  </si>
  <si>
    <t>WILAYAH TERBAIK</t>
  </si>
  <si>
    <t>• Laptop merupakan produk dengan total penjualan tertinggi.
• Pringsewu merupakan wilayah dengan total penjualan tertinggi.
• Februari mencatat penjualan bulanan tertinggi pada dataset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</si>
</sst>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family val="2"/>
      <scheme val="minor"/>
    </font>
    <font>
      <b/>
      <sz val="11"/>
      <name val="Calibri"/>
      <family val="2"/>
    </font>
    <font>
      <b/>
      <sz val="22"/>
      <color theme="0"/>
      <name val="Arial"/>
      <family val="2"/>
    </font>
    <font>
      <sz val="11"/>
      <color theme="1"/>
      <name val="Arial"/>
      <family val="2"/>
    </font>
    <font>
      <sz val="11"/>
      <color theme="0"/>
      <name val="Arial"/>
      <family val="2"/>
    </font>
    <font>
      <b/>
      <sz val="11"/>
      <color theme="0"/>
      <name val="Arial"/>
      <family val="2"/>
    </font>
    <font>
      <b/>
      <sz val="11"/>
      <name val="Arial"/>
      <family val="2"/>
    </font>
  </fonts>
  <fills count="5">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1" xfId="0" applyFont="1" applyBorder="1" applyAlignment="1">
      <alignment horizontal="center"/>
    </xf>
    <xf numFmtId="164" fontId="0" fillId="0" borderId="0" xfId="0" applyNumberFormat="1"/>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3" fillId="0" borderId="0" xfId="0" applyFont="1"/>
    <xf numFmtId="0" fontId="2" fillId="2" borderId="0" xfId="0" applyFont="1" applyFill="1" applyAlignment="1">
      <alignment horizontal="center" vertical="center"/>
    </xf>
    <xf numFmtId="0" fontId="5" fillId="3" borderId="0" xfId="0" applyFont="1" applyFill="1" applyAlignment="1">
      <alignment horizontal="center" vertical="center"/>
    </xf>
    <xf numFmtId="0" fontId="6" fillId="4" borderId="0" xfId="0" applyFont="1" applyFill="1" applyAlignment="1">
      <alignment horizontal="center" vertical="center"/>
    </xf>
    <xf numFmtId="2" fontId="6" fillId="4" borderId="0" xfId="0" applyNumberFormat="1" applyFont="1" applyFill="1" applyAlignment="1">
      <alignment horizontal="center" vertical="center"/>
    </xf>
    <xf numFmtId="0" fontId="4" fillId="3"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[SALES_PERFORMANCE_ANALYSIS_DASHBOARD.xlsx]Pivot!PivotTable1</c:name>
    <c:fmtId val="2"/>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Penjualan Berdasarkan</a:t>
            </a:r>
            <a:r>
              <a:rPr lang="en-US" sz="1200" b="1" baseline="0">
                <a:solidFill>
                  <a:sysClr val="windowText" lastClr="000000"/>
                </a:solidFill>
                <a:latin typeface="Arial" panose="020B0604020202020204" pitchFamily="34" charset="0"/>
                <a:cs typeface="Arial" panose="020B0604020202020204" pitchFamily="34" charset="0"/>
              </a:rPr>
              <a:t> Wilayah</a:t>
            </a:r>
            <a:endParaRPr lang="en-US" sz="1200" b="1">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quot;Jut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numFmt formatCode="#,##0.0,,&quot;Jut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5"/>
                <c:pt idx="0">
                  <c:v>Bandar Lampung</c:v>
                </c:pt>
                <c:pt idx="1">
                  <c:v>Lampung Selatan</c:v>
                </c:pt>
                <c:pt idx="2">
                  <c:v>Lampung Tengah</c:v>
                </c:pt>
                <c:pt idx="3">
                  <c:v>Metro</c:v>
                </c:pt>
                <c:pt idx="4">
                  <c:v>Pringsewu</c:v>
                </c:pt>
              </c:strCache>
            </c:strRef>
          </c:cat>
          <c:val>
            <c:numRef>
              <c:f>Pivot!$B$4:$B$8</c:f>
              <c:numCache>
                <c:formatCode>#,##0</c:formatCode>
                <c:ptCount val="5"/>
                <c:pt idx="0">
                  <c:v>200202500</c:v>
                </c:pt>
                <c:pt idx="1">
                  <c:v>230365000</c:v>
                </c:pt>
                <c:pt idx="2">
                  <c:v>186390000</c:v>
                </c:pt>
                <c:pt idx="3">
                  <c:v>249732500</c:v>
                </c:pt>
                <c:pt idx="4">
                  <c:v>336685000</c:v>
                </c:pt>
              </c:numCache>
            </c:numRef>
          </c:val>
          <c:extLst>
            <c:ext xmlns:c16="http://schemas.microsoft.com/office/drawing/2014/chart" uri="{C3380CC4-5D6E-409C-BE32-E72D297353CC}">
              <c16:uniqueId val="{00000005-3D3A-4BC7-88F8-82BA04B2397F}"/>
            </c:ext>
          </c:extLst>
        </c:ser>
        <c:dLbls>
          <c:dLblPos val="outEnd"/>
          <c:showLegendKey val="0"/>
          <c:showVal val="1"/>
          <c:showCatName val="0"/>
          <c:showSerName val="0"/>
          <c:showPercent val="0"/>
          <c:showBubbleSize val="0"/>
        </c:dLbls>
        <c:gapWidth val="219"/>
        <c:overlap val="-27"/>
        <c:axId val="1479205039"/>
        <c:axId val="953464911"/>
      </c:barChart>
      <c:catAx>
        <c:axId val="1479205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64911"/>
        <c:crosses val="autoZero"/>
        <c:auto val="1"/>
        <c:lblAlgn val="ctr"/>
        <c:lblOffset val="100"/>
        <c:noMultiLvlLbl val="0"/>
      </c:catAx>
      <c:valAx>
        <c:axId val="953464911"/>
        <c:scaling>
          <c:orientation val="minMax"/>
        </c:scaling>
        <c:delete val="0"/>
        <c:axPos val="l"/>
        <c:numFmt formatCode="#,##0,,&quot; Juta&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0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[SALES_PERFORMANCE_ANALYSIS_DASHBOARD.xlsx]Pivot!PivotTable2</c:name>
    <c:fmtId val="2"/>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Penjualan Berdasarkan Produk</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Pivot!$A$12:$A$19</c:f>
              <c:strCache>
                <c:ptCount val="8"/>
                <c:pt idx="0">
                  <c:v>Laptop</c:v>
                </c:pt>
                <c:pt idx="1">
                  <c:v>Printer</c:v>
                </c:pt>
                <c:pt idx="2">
                  <c:v>Monitor</c:v>
                </c:pt>
                <c:pt idx="3">
                  <c:v>SSD</c:v>
                </c:pt>
                <c:pt idx="4">
                  <c:v>Headset</c:v>
                </c:pt>
                <c:pt idx="5">
                  <c:v>Mouse</c:v>
                </c:pt>
                <c:pt idx="6">
                  <c:v>Keyboard</c:v>
                </c:pt>
                <c:pt idx="7">
                  <c:v>Webcam</c:v>
                </c:pt>
              </c:strCache>
            </c:strRef>
          </c:cat>
          <c:val>
            <c:numRef>
              <c:f>Pivot!$B$12:$B$19</c:f>
              <c:numCache>
                <c:formatCode>#,##0</c:formatCode>
                <c:ptCount val="8"/>
                <c:pt idx="0">
                  <c:v>627527500</c:v>
                </c:pt>
                <c:pt idx="1">
                  <c:v>207905000</c:v>
                </c:pt>
                <c:pt idx="2">
                  <c:v>205127500</c:v>
                </c:pt>
                <c:pt idx="3">
                  <c:v>49090000</c:v>
                </c:pt>
                <c:pt idx="4">
                  <c:v>48060000</c:v>
                </c:pt>
                <c:pt idx="5">
                  <c:v>38267500</c:v>
                </c:pt>
                <c:pt idx="6">
                  <c:v>17037500</c:v>
                </c:pt>
                <c:pt idx="7">
                  <c:v>10360000</c:v>
                </c:pt>
              </c:numCache>
            </c:numRef>
          </c:val>
          <c:extLst>
            <c:ext xmlns:c16="http://schemas.microsoft.com/office/drawing/2014/chart" uri="{C3380CC4-5D6E-409C-BE32-E72D297353CC}">
              <c16:uniqueId val="{00000000-70A1-44E3-8ED7-F00EAA390B2A}"/>
            </c:ext>
          </c:extLst>
        </c:ser>
        <c:dLbls>
          <c:dLblPos val="outEnd"/>
          <c:showLegendKey val="0"/>
          <c:showVal val="1"/>
          <c:showCatName val="0"/>
          <c:showSerName val="0"/>
          <c:showPercent val="0"/>
          <c:showBubbleSize val="0"/>
        </c:dLbls>
        <c:gapWidth val="182"/>
        <c:axId val="1482613839"/>
        <c:axId val="953376111"/>
      </c:barChart>
      <c:catAx>
        <c:axId val="1482613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76111"/>
        <c:crosses val="autoZero"/>
        <c:auto val="1"/>
        <c:lblAlgn val="ctr"/>
        <c:lblOffset val="100"/>
        <c:noMultiLvlLbl val="0"/>
      </c:catAx>
      <c:valAx>
        <c:axId val="953376111"/>
        <c:scaling>
          <c:orientation val="minMax"/>
        </c:scaling>
        <c:delete val="0"/>
        <c:axPos val="b"/>
        <c:numFmt formatCode="#,##0,,&quot; Juta&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1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[SALES_PERFORMANCE_ANALYSIS_DASHBOARD.xlsx]Pivot!PivotTable3</c:name>
    <c:fmtId val="2"/>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Tren Penjualan Bulanan</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 Jut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numFmt formatCode="#,##0.0,,&quot; Juta&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Pivot!$D$4:$D$6</c:f>
              <c:strCache>
                <c:ptCount val="3"/>
                <c:pt idx="0">
                  <c:v>Jan</c:v>
                </c:pt>
                <c:pt idx="1">
                  <c:v>Feb</c:v>
                </c:pt>
                <c:pt idx="2">
                  <c:v>Mar</c:v>
                </c:pt>
              </c:strCache>
            </c:strRef>
          </c:cat>
          <c:val>
            <c:numRef>
              <c:f>Pivot!$E$4:$E$6</c:f>
              <c:numCache>
                <c:formatCode>#,##0</c:formatCode>
                <c:ptCount val="3"/>
                <c:pt idx="0">
                  <c:v>416700000</c:v>
                </c:pt>
                <c:pt idx="1">
                  <c:v>491682500</c:v>
                </c:pt>
                <c:pt idx="2">
                  <c:v>294992500</c:v>
                </c:pt>
              </c:numCache>
            </c:numRef>
          </c:val>
          <c:extLst>
            <c:ext xmlns:c16="http://schemas.microsoft.com/office/drawing/2014/chart" uri="{C3380CC4-5D6E-409C-BE32-E72D297353CC}">
              <c16:uniqueId val="{00000000-D461-4E8E-B082-9D99AE4E5A8A}"/>
            </c:ext>
          </c:extLst>
        </c:ser>
        <c:dLbls>
          <c:dLblPos val="outEnd"/>
          <c:showLegendKey val="0"/>
          <c:showVal val="1"/>
          <c:showCatName val="0"/>
          <c:showSerName val="0"/>
          <c:showPercent val="0"/>
          <c:showBubbleSize val="0"/>
        </c:dLbls>
        <c:gapWidth val="219"/>
        <c:overlap val="-27"/>
        <c:axId val="1486740367"/>
        <c:axId val="953406351"/>
      </c:barChart>
      <c:catAx>
        <c:axId val="14867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06351"/>
        <c:crosses val="autoZero"/>
        <c:auto val="1"/>
        <c:lblAlgn val="ctr"/>
        <c:lblOffset val="100"/>
        <c:noMultiLvlLbl val="0"/>
      </c:catAx>
      <c:valAx>
        <c:axId val="953406351"/>
        <c:scaling>
          <c:orientation val="minMax"/>
        </c:scaling>
        <c:delete val="0"/>
        <c:axPos val="l"/>
        <c:numFmt formatCode="#,##0,,&quot; Juta&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501650</xdr:colOff>
      <xdr:row>8</xdr:row>
      <xdr:rowOff>57150</xdr:rowOff>
    </xdr:from>
    <xdr:to>
      <xdr:col>5</xdr:col>
      <xdr:colOff>44450</xdr:colOff>
      <xdr:row>22</xdr:row>
      <xdr:rowOff>3175</xdr:rowOff>
    </xdr:to>
    <mc:AlternateContent xmlns:mc="http://schemas.openxmlformats.org/markup-compatibility/2006" xmlns:a14="http://schemas.microsoft.com/office/drawing/2010/main">
      <mc:Choice Requires="a14">
        <xdr:graphicFrame macro="">
          <xdr:nvGraphicFramePr>
            <xdr:cNvPr id="5" name="Channel 1">
              <a:extLst>
                <a:ext uri="{FF2B5EF4-FFF2-40B4-BE49-F238E27FC236}">
                  <a16:creationId xmlns:a16="http://schemas.microsoft.com/office/drawing/2014/main" id="{09BF5E41-5C40-8C05-4A14-DD7D90728FB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587750" y="1530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6</xdr:row>
      <xdr:rowOff>141468</xdr:rowOff>
    </xdr:from>
    <xdr:to>
      <xdr:col>5</xdr:col>
      <xdr:colOff>409678</xdr:colOff>
      <xdr:row>19</xdr:row>
      <xdr:rowOff>15300</xdr:rowOff>
    </xdr:to>
    <xdr:graphicFrame macro="">
      <xdr:nvGraphicFramePr>
        <xdr:cNvPr id="2" name="Chart 1">
          <a:extLst>
            <a:ext uri="{FF2B5EF4-FFF2-40B4-BE49-F238E27FC236}">
              <a16:creationId xmlns:a16="http://schemas.microsoft.com/office/drawing/2014/main" id="{9513AFEE-AF58-4C8A-9B11-94FFAF083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566720</xdr:colOff>
      <xdr:row>6</xdr:row>
      <xdr:rowOff>128768</xdr:rowOff>
    </xdr:from>
    <xdr:to>
      <xdr:col>11</xdr:col>
      <xdr:colOff>600860</xdr:colOff>
      <xdr:row>19</xdr:row>
      <xdr:rowOff>15300</xdr:rowOff>
    </xdr:to>
    <xdr:graphicFrame macro="">
      <xdr:nvGraphicFramePr>
        <xdr:cNvPr id="3" name="Chart 2">
          <a:extLst>
            <a:ext uri="{FF2B5EF4-FFF2-40B4-BE49-F238E27FC236}">
              <a16:creationId xmlns:a16="http://schemas.microsoft.com/office/drawing/2014/main" id="{665E2E95-BFBD-47B1-AF30-2BFF45545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6351</xdr:colOff>
      <xdr:row>20</xdr:row>
      <xdr:rowOff>50800</xdr:rowOff>
    </xdr:from>
    <xdr:to>
      <xdr:col>7</xdr:col>
      <xdr:colOff>510083</xdr:colOff>
      <xdr:row>32</xdr:row>
      <xdr:rowOff>34140</xdr:rowOff>
    </xdr:to>
    <xdr:graphicFrame macro="">
      <xdr:nvGraphicFramePr>
        <xdr:cNvPr id="4" name="Chart 3">
          <a:extLst>
            <a:ext uri="{FF2B5EF4-FFF2-40B4-BE49-F238E27FC236}">
              <a16:creationId xmlns:a16="http://schemas.microsoft.com/office/drawing/2014/main" id="{55A4ACE2-B253-4F9F-B9B1-A10AF6823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8977</xdr:colOff>
      <xdr:row>20</xdr:row>
      <xdr:rowOff>129897</xdr:rowOff>
    </xdr:from>
    <xdr:to>
      <xdr:col>11</xdr:col>
      <xdr:colOff>582950</xdr:colOff>
      <xdr:row>30</xdr:row>
      <xdr:rowOff>83279</xdr:rowOff>
    </xdr:to>
    <mc:AlternateContent xmlns:mc="http://schemas.openxmlformats.org/markup-compatibility/2006" xmlns:a14="http://schemas.microsoft.com/office/drawing/2010/main">
      <mc:Choice Requires="a14">
        <xdr:graphicFrame macro="">
          <xdr:nvGraphicFramePr>
            <xdr:cNvPr id="8" name="Channel 2">
              <a:extLst>
                <a:ext uri="{FF2B5EF4-FFF2-40B4-BE49-F238E27FC236}">
                  <a16:creationId xmlns:a16="http://schemas.microsoft.com/office/drawing/2014/main" id="{70EB8BAC-7BFC-4DA1-9B87-EE6E62F6C228}"/>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4883031" y="4137262"/>
              <a:ext cx="2401743" cy="1755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4.968051504628" createdVersion="8" refreshedVersion="8" minRefreshableVersion="3" recordCount="100" xr:uid="{4E6B1EE4-2217-4EDB-9885-D43723AAA0CA}">
  <cacheSource type="worksheet">
    <worksheetSource ref="A1:K101" sheet="Data Penjualan"/>
  </cacheSource>
  <cacheFields count="13">
    <cacheField name="ID Transaksi" numFmtId="0">
      <sharedItems/>
    </cacheField>
    <cacheField name="Tanggal" numFmtId="164">
      <sharedItems containsSemiMixedTypes="0" containsNonDate="0" containsDate="1" containsString="0" minDate="2026-01-02T00:00:00" maxDate="2026-04-01T00:00:00" count="64">
        <d v="2026-03-23T00:00:00"/>
        <d v="2026-03-28T00:00:00"/>
        <d v="2026-03-06T00:00:00"/>
        <d v="2026-03-17T00:00:00"/>
        <d v="2026-01-28T00:00:00"/>
        <d v="2026-01-06T00:00:00"/>
        <d v="2026-03-15T00:00:00"/>
        <d v="2026-01-13T00:00:00"/>
        <d v="2026-01-27T00:00:00"/>
        <d v="2026-02-04T00:00:00"/>
        <d v="2026-01-19T00:00:00"/>
        <d v="2026-03-16T00:00:00"/>
        <d v="2026-01-15T00:00:00"/>
        <d v="2026-02-18T00:00:00"/>
        <d v="2026-03-29T00:00:00"/>
        <d v="2026-02-03T00:00:00"/>
        <d v="2026-01-20T00:00:00"/>
        <d v="2026-02-16T00:00:00"/>
        <d v="2026-01-09T00:00:00"/>
        <d v="2026-01-16T00:00:00"/>
        <d v="2026-02-12T00:00:00"/>
        <d v="2026-02-15T00:00:00"/>
        <d v="2026-01-08T00:00:00"/>
        <d v="2026-01-18T00:00:00"/>
        <d v="2026-01-07T00:00:00"/>
        <d v="2026-02-21T00:00:00"/>
        <d v="2026-02-24T00:00:00"/>
        <d v="2026-02-10T00:00:00"/>
        <d v="2026-01-24T00:00:00"/>
        <d v="2026-02-28T00:00:00"/>
        <d v="2026-03-10T00:00:00"/>
        <d v="2026-02-06T00:00:00"/>
        <d v="2026-03-26T00:00:00"/>
        <d v="2026-01-10T00:00:00"/>
        <d v="2026-01-17T00:00:00"/>
        <d v="2026-03-27T00:00:00"/>
        <d v="2026-02-22T00:00:00"/>
        <d v="2026-01-29T00:00:00"/>
        <d v="2026-02-14T00:00:00"/>
        <d v="2026-01-05T00:00:00"/>
        <d v="2026-02-19T00:00:00"/>
        <d v="2026-02-23T00:00:00"/>
        <d v="2026-02-08T00:00:00"/>
        <d v="2026-02-26T00:00:00"/>
        <d v="2026-01-04T00:00:00"/>
        <d v="2026-03-31T00:00:00"/>
        <d v="2026-01-14T00:00:00"/>
        <d v="2026-01-30T00:00:00"/>
        <d v="2026-03-04T00:00:00"/>
        <d v="2026-01-22T00:00:00"/>
        <d v="2026-01-11T00:00:00"/>
        <d v="2026-03-02T00:00:00"/>
        <d v="2026-01-21T00:00:00"/>
        <d v="2026-01-26T00:00:00"/>
        <d v="2026-03-14T00:00:00"/>
        <d v="2026-01-02T00:00:00"/>
        <d v="2026-02-25T00:00:00"/>
        <d v="2026-03-24T00:00:00"/>
        <d v="2026-02-09T00:00:00"/>
        <d v="2026-01-25T00:00:00"/>
        <d v="2026-02-05T00:00:00"/>
        <d v="2026-03-03T00:00:00"/>
        <d v="2026-03-19T00:00:00"/>
        <d v="2026-02-07T00:00:00"/>
      </sharedItems>
      <fieldGroup par="12"/>
    </cacheField>
    <cacheField name="Wilayah" numFmtId="0">
      <sharedItems count="5">
        <s v="Metro"/>
        <s v="Bandar Lampung"/>
        <s v="Lampung Tengah"/>
        <s v="Lampung Selatan"/>
        <s v="Pringsewu"/>
      </sharedItems>
    </cacheField>
    <cacheField name="Sales" numFmtId="0">
      <sharedItems/>
    </cacheField>
    <cacheField name="Produk" numFmtId="0">
      <sharedItems count="8">
        <s v="Monitor"/>
        <s v="Laptop"/>
        <s v="Headset"/>
        <s v="Webcam"/>
        <s v="SSD"/>
        <s v="Mouse"/>
        <s v="Printer"/>
        <s v="Keyboard"/>
      </sharedItems>
    </cacheField>
    <cacheField name="Qty" numFmtId="0">
      <sharedItems containsSemiMixedTypes="0" containsString="0" containsNumber="1" containsInteger="1" minValue="1" maxValue="8"/>
    </cacheField>
    <cacheField name="Harga Satuan" numFmtId="3">
      <sharedItems containsSemiMixedTypes="0" containsString="0" containsNumber="1" containsInteger="1" minValue="150000" maxValue="11700000"/>
    </cacheField>
    <cacheField name="Diskon" numFmtId="9">
      <sharedItems containsSemiMixedTypes="0" containsString="0" containsNumber="1" minValue="0" maxValue="0.15"/>
    </cacheField>
    <cacheField name="Total Penjualan" numFmtId="3">
      <sharedItems containsSemiMixedTypes="0" containsString="0" containsNumber="1" containsInteger="1" minValue="255000" maxValue="65160000"/>
    </cacheField>
    <cacheField name="Channel" numFmtId="0">
      <sharedItems count="3">
        <s v="Website"/>
        <s v="Toko"/>
        <s v="Marketplace"/>
      </sharedItems>
    </cacheField>
    <cacheField name="Status Pembayaran" numFmtId="0">
      <sharedItems/>
    </cacheField>
    <cacheField name="Days (Tanggal)" numFmtId="0" databaseField="0">
      <fieldGroup base="1">
        <rangePr groupBy="days" startDate="2026-01-02T00:00:00" endDate="2026-04-01T00:00:00"/>
        <groupItems count="368">
          <s v="&lt;1/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2026"/>
        </groupItems>
      </fieldGroup>
    </cacheField>
    <cacheField name="Months (Tanggal)" numFmtId="0" databaseField="0">
      <fieldGroup base="1">
        <rangePr groupBy="months" startDate="2026-01-02T00:00:00" endDate="2026-04-01T00:00:00"/>
        <groupItems count="14">
          <s v="&lt;1/2/2026"/>
          <s v="Jan"/>
          <s v="Feb"/>
          <s v="Mar"/>
          <s v="Apr"/>
          <s v="May"/>
          <s v="Jun"/>
          <s v="Jul"/>
          <s v="Aug"/>
          <s v="Sep"/>
          <s v="Oct"/>
          <s v="Nov"/>
          <s v="Dec"/>
          <s v="&gt;4/1/2026"/>
        </groupItems>
      </fieldGroup>
    </cacheField>
  </cacheFields>
  <extLst>
    <ext xmlns:x14="http://schemas.microsoft.com/office/spreadsheetml/2009/9/main" uri="{725AE2AE-9491-48be-B2B4-4EB974FC3084}">
      <x14:pivotCacheDefinition pivotCacheId="1608886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RX-001"/>
    <x v="0"/>
    <x v="0"/>
    <s v="Budi"/>
    <x v="0"/>
    <n v="5"/>
    <n v="1850000"/>
    <n v="0"/>
    <n v="9250000"/>
    <x v="0"/>
    <s v="Lunas"/>
  </r>
  <r>
    <s v="TRX-002"/>
    <x v="1"/>
    <x v="1"/>
    <s v="Andi"/>
    <x v="0"/>
    <n v="7"/>
    <n v="3650000"/>
    <n v="0"/>
    <n v="25550000"/>
    <x v="1"/>
    <s v="Lunas"/>
  </r>
  <r>
    <s v="TRX-003"/>
    <x v="2"/>
    <x v="2"/>
    <s v="Dina"/>
    <x v="1"/>
    <n v="4"/>
    <n v="11050000"/>
    <n v="0.15"/>
    <n v="37570000"/>
    <x v="1"/>
    <s v="Belum Lunas"/>
  </r>
  <r>
    <s v="TRX-004"/>
    <x v="3"/>
    <x v="3"/>
    <s v="Citra"/>
    <x v="2"/>
    <n v="3"/>
    <n v="300000"/>
    <n v="0.15"/>
    <n v="765000"/>
    <x v="2"/>
    <s v="Lunas"/>
  </r>
  <r>
    <s v="TRX-005"/>
    <x v="4"/>
    <x v="1"/>
    <s v="Citra"/>
    <x v="3"/>
    <n v="2"/>
    <n v="550000"/>
    <n v="0.05"/>
    <n v="1045000"/>
    <x v="2"/>
    <s v="Belum Lunas"/>
  </r>
  <r>
    <s v="TRX-006"/>
    <x v="5"/>
    <x v="1"/>
    <s v="Eko"/>
    <x v="4"/>
    <n v="2"/>
    <n v="1550000"/>
    <n v="0.05"/>
    <n v="2945000"/>
    <x v="2"/>
    <s v="Belum Lunas"/>
  </r>
  <r>
    <s v="TRX-007"/>
    <x v="6"/>
    <x v="0"/>
    <s v="Citra"/>
    <x v="5"/>
    <n v="2"/>
    <n v="700000"/>
    <n v="0"/>
    <n v="1400000"/>
    <x v="1"/>
    <s v="Lunas"/>
  </r>
  <r>
    <s v="TRX-008"/>
    <x v="7"/>
    <x v="4"/>
    <s v="Budi"/>
    <x v="6"/>
    <n v="8"/>
    <n v="2350000"/>
    <n v="0.15"/>
    <n v="15980000"/>
    <x v="2"/>
    <s v="Belum Lunas"/>
  </r>
  <r>
    <s v="TRX-009"/>
    <x v="8"/>
    <x v="0"/>
    <s v="Budi"/>
    <x v="2"/>
    <n v="3"/>
    <n v="400000"/>
    <n v="0.1"/>
    <n v="1080000"/>
    <x v="2"/>
    <s v="Belum Lunas"/>
  </r>
  <r>
    <s v="TRX-010"/>
    <x v="9"/>
    <x v="0"/>
    <s v="Andi"/>
    <x v="5"/>
    <n v="6"/>
    <n v="650000"/>
    <n v="0"/>
    <n v="3900000"/>
    <x v="2"/>
    <s v="Belum Lunas"/>
  </r>
  <r>
    <s v="TRX-011"/>
    <x v="9"/>
    <x v="3"/>
    <s v="Dina"/>
    <x v="0"/>
    <n v="6"/>
    <n v="2450000"/>
    <n v="0"/>
    <n v="14700000"/>
    <x v="0"/>
    <s v="Belum Lunas"/>
  </r>
  <r>
    <s v="TRX-012"/>
    <x v="10"/>
    <x v="2"/>
    <s v="Eko"/>
    <x v="2"/>
    <n v="4"/>
    <n v="500000"/>
    <n v="0.15"/>
    <n v="1700000"/>
    <x v="2"/>
    <s v="Belum Lunas"/>
  </r>
  <r>
    <s v="TRX-013"/>
    <x v="11"/>
    <x v="2"/>
    <s v="Dina"/>
    <x v="6"/>
    <n v="4"/>
    <n v="2650000"/>
    <n v="0"/>
    <n v="10600000"/>
    <x v="1"/>
    <s v="Lunas"/>
  </r>
  <r>
    <s v="TRX-014"/>
    <x v="12"/>
    <x v="3"/>
    <s v="Eko"/>
    <x v="7"/>
    <n v="3"/>
    <n v="750000"/>
    <n v="0.15"/>
    <n v="1912500"/>
    <x v="1"/>
    <s v="Belum Lunas"/>
  </r>
  <r>
    <s v="TRX-015"/>
    <x v="13"/>
    <x v="1"/>
    <s v="Fajar"/>
    <x v="4"/>
    <n v="5"/>
    <n v="1500000"/>
    <n v="0.1"/>
    <n v="6750000"/>
    <x v="0"/>
    <s v="Lunas"/>
  </r>
  <r>
    <s v="TRX-016"/>
    <x v="14"/>
    <x v="3"/>
    <s v="Budi"/>
    <x v="2"/>
    <n v="2"/>
    <n v="800000"/>
    <n v="0"/>
    <n v="1600000"/>
    <x v="2"/>
    <s v="Lunas"/>
  </r>
  <r>
    <s v="TRX-017"/>
    <x v="15"/>
    <x v="4"/>
    <s v="Fajar"/>
    <x v="7"/>
    <n v="2"/>
    <n v="650000"/>
    <n v="0.15"/>
    <n v="1105000"/>
    <x v="0"/>
    <s v="Lunas"/>
  </r>
  <r>
    <s v="TRX-018"/>
    <x v="16"/>
    <x v="4"/>
    <s v="Dina"/>
    <x v="3"/>
    <n v="1"/>
    <n v="650000"/>
    <n v="0.1"/>
    <n v="585000"/>
    <x v="1"/>
    <s v="Lunas"/>
  </r>
  <r>
    <s v="TRX-019"/>
    <x v="17"/>
    <x v="2"/>
    <s v="Andi"/>
    <x v="2"/>
    <n v="1"/>
    <n v="650000"/>
    <n v="0"/>
    <n v="650000"/>
    <x v="1"/>
    <s v="Belum Lunas"/>
  </r>
  <r>
    <s v="TRX-020"/>
    <x v="18"/>
    <x v="0"/>
    <s v="Citra"/>
    <x v="7"/>
    <n v="8"/>
    <n v="350000"/>
    <n v="0.1"/>
    <n v="2520000"/>
    <x v="0"/>
    <s v="Belum Lunas"/>
  </r>
  <r>
    <s v="TRX-021"/>
    <x v="4"/>
    <x v="4"/>
    <s v="Dina"/>
    <x v="5"/>
    <n v="5"/>
    <n v="700000"/>
    <n v="0.05"/>
    <n v="3325000"/>
    <x v="0"/>
    <s v="Belum Lunas"/>
  </r>
  <r>
    <s v="TRX-022"/>
    <x v="19"/>
    <x v="1"/>
    <s v="Eko"/>
    <x v="5"/>
    <n v="2"/>
    <n v="300000"/>
    <n v="0"/>
    <n v="600000"/>
    <x v="0"/>
    <s v="Lunas"/>
  </r>
  <r>
    <s v="TRX-023"/>
    <x v="3"/>
    <x v="1"/>
    <s v="Budi"/>
    <x v="5"/>
    <n v="2"/>
    <n v="150000"/>
    <n v="0.15"/>
    <n v="255000"/>
    <x v="1"/>
    <s v="Lunas"/>
  </r>
  <r>
    <s v="TRX-024"/>
    <x v="20"/>
    <x v="3"/>
    <s v="Budi"/>
    <x v="0"/>
    <n v="4"/>
    <n v="3400000"/>
    <n v="0"/>
    <n v="13600000"/>
    <x v="0"/>
    <s v="Lunas"/>
  </r>
  <r>
    <s v="TRX-025"/>
    <x v="6"/>
    <x v="0"/>
    <s v="Andi"/>
    <x v="4"/>
    <n v="8"/>
    <n v="1050000"/>
    <n v="0.05"/>
    <n v="7980000"/>
    <x v="1"/>
    <s v="Belum Lunas"/>
  </r>
  <r>
    <s v="TRX-026"/>
    <x v="21"/>
    <x v="1"/>
    <s v="Fajar"/>
    <x v="6"/>
    <n v="8"/>
    <n v="2800000"/>
    <n v="0.15"/>
    <n v="19040000"/>
    <x v="0"/>
    <s v="Lunas"/>
  </r>
  <r>
    <s v="TRX-027"/>
    <x v="22"/>
    <x v="0"/>
    <s v="Budi"/>
    <x v="6"/>
    <n v="6"/>
    <n v="3800000"/>
    <n v="0"/>
    <n v="22800000"/>
    <x v="1"/>
    <s v="Belum Lunas"/>
  </r>
  <r>
    <s v="TRX-028"/>
    <x v="23"/>
    <x v="0"/>
    <s v="Andi"/>
    <x v="6"/>
    <n v="5"/>
    <n v="2050000"/>
    <n v="0.05"/>
    <n v="9737500"/>
    <x v="2"/>
    <s v="Lunas"/>
  </r>
  <r>
    <s v="TRX-029"/>
    <x v="24"/>
    <x v="3"/>
    <s v="Dina"/>
    <x v="1"/>
    <n v="4"/>
    <n v="8050000"/>
    <n v="0"/>
    <n v="32200000"/>
    <x v="2"/>
    <s v="Lunas"/>
  </r>
  <r>
    <s v="TRX-030"/>
    <x v="25"/>
    <x v="3"/>
    <s v="Citra"/>
    <x v="1"/>
    <n v="7"/>
    <n v="8550000"/>
    <n v="0"/>
    <n v="59850000"/>
    <x v="2"/>
    <s v="Belum Lunas"/>
  </r>
  <r>
    <s v="TRX-031"/>
    <x v="26"/>
    <x v="0"/>
    <s v="Andi"/>
    <x v="4"/>
    <n v="4"/>
    <n v="900000"/>
    <n v="0"/>
    <n v="3600000"/>
    <x v="0"/>
    <s v="Lunas"/>
  </r>
  <r>
    <s v="TRX-032"/>
    <x v="27"/>
    <x v="2"/>
    <s v="Budi"/>
    <x v="1"/>
    <n v="8"/>
    <n v="7800000"/>
    <n v="0.1"/>
    <n v="56160000"/>
    <x v="1"/>
    <s v="Lunas"/>
  </r>
  <r>
    <s v="TRX-033"/>
    <x v="28"/>
    <x v="0"/>
    <s v="Dina"/>
    <x v="0"/>
    <n v="2"/>
    <n v="3700000"/>
    <n v="0.15"/>
    <n v="6290000"/>
    <x v="1"/>
    <s v="Lunas"/>
  </r>
  <r>
    <s v="TRX-034"/>
    <x v="11"/>
    <x v="2"/>
    <s v="Eko"/>
    <x v="1"/>
    <n v="2"/>
    <n v="11450000"/>
    <n v="0.05"/>
    <n v="21755000"/>
    <x v="0"/>
    <s v="Belum Lunas"/>
  </r>
  <r>
    <s v="TRX-035"/>
    <x v="15"/>
    <x v="4"/>
    <s v="Dina"/>
    <x v="5"/>
    <n v="6"/>
    <n v="650000"/>
    <n v="0"/>
    <n v="3900000"/>
    <x v="1"/>
    <s v="Belum Lunas"/>
  </r>
  <r>
    <s v="TRX-036"/>
    <x v="29"/>
    <x v="2"/>
    <s v="Eko"/>
    <x v="3"/>
    <n v="1"/>
    <n v="500000"/>
    <n v="0.05"/>
    <n v="475000"/>
    <x v="1"/>
    <s v="Lunas"/>
  </r>
  <r>
    <s v="TRX-037"/>
    <x v="30"/>
    <x v="4"/>
    <s v="Andi"/>
    <x v="5"/>
    <n v="5"/>
    <n v="550000"/>
    <n v="0"/>
    <n v="2750000"/>
    <x v="1"/>
    <s v="Belum Lunas"/>
  </r>
  <r>
    <s v="TRX-038"/>
    <x v="31"/>
    <x v="2"/>
    <s v="Andi"/>
    <x v="7"/>
    <n v="5"/>
    <n v="600000"/>
    <n v="0.1"/>
    <n v="2700000"/>
    <x v="0"/>
    <s v="Belum Lunas"/>
  </r>
  <r>
    <s v="TRX-039"/>
    <x v="32"/>
    <x v="1"/>
    <s v="Fajar"/>
    <x v="0"/>
    <n v="5"/>
    <n v="2200000"/>
    <n v="0"/>
    <n v="11000000"/>
    <x v="0"/>
    <s v="Lunas"/>
  </r>
  <r>
    <s v="TRX-040"/>
    <x v="9"/>
    <x v="4"/>
    <s v="Eko"/>
    <x v="2"/>
    <n v="6"/>
    <n v="600000"/>
    <n v="0"/>
    <n v="3600000"/>
    <x v="2"/>
    <s v="Belum Lunas"/>
  </r>
  <r>
    <s v="TRX-041"/>
    <x v="24"/>
    <x v="1"/>
    <s v="Andi"/>
    <x v="0"/>
    <n v="7"/>
    <n v="3800000"/>
    <n v="0"/>
    <n v="26600000"/>
    <x v="2"/>
    <s v="Lunas"/>
  </r>
  <r>
    <s v="TRX-042"/>
    <x v="0"/>
    <x v="3"/>
    <s v="Eko"/>
    <x v="2"/>
    <n v="8"/>
    <n v="550000"/>
    <n v="0.1"/>
    <n v="3960000"/>
    <x v="1"/>
    <s v="Lunas"/>
  </r>
  <r>
    <s v="TRX-043"/>
    <x v="33"/>
    <x v="2"/>
    <s v="Eko"/>
    <x v="7"/>
    <n v="1"/>
    <n v="650000"/>
    <n v="0"/>
    <n v="650000"/>
    <x v="1"/>
    <s v="Belum Lunas"/>
  </r>
  <r>
    <s v="TRX-044"/>
    <x v="34"/>
    <x v="4"/>
    <s v="Budi"/>
    <x v="1"/>
    <n v="6"/>
    <n v="9450000"/>
    <n v="0"/>
    <n v="56700000"/>
    <x v="0"/>
    <s v="Lunas"/>
  </r>
  <r>
    <s v="TRX-045"/>
    <x v="35"/>
    <x v="0"/>
    <s v="Budi"/>
    <x v="0"/>
    <n v="7"/>
    <n v="2900000"/>
    <n v="0.1"/>
    <n v="18270000"/>
    <x v="1"/>
    <s v="Lunas"/>
  </r>
  <r>
    <s v="TRX-046"/>
    <x v="36"/>
    <x v="0"/>
    <s v="Citra"/>
    <x v="1"/>
    <n v="6"/>
    <n v="8600000"/>
    <n v="0.05"/>
    <n v="49020000"/>
    <x v="1"/>
    <s v="Lunas"/>
  </r>
  <r>
    <s v="TRX-047"/>
    <x v="13"/>
    <x v="3"/>
    <s v="Citra"/>
    <x v="1"/>
    <n v="4"/>
    <n v="10500000"/>
    <n v="0"/>
    <n v="42000000"/>
    <x v="2"/>
    <s v="Lunas"/>
  </r>
  <r>
    <s v="TRX-048"/>
    <x v="37"/>
    <x v="4"/>
    <s v="Citra"/>
    <x v="1"/>
    <n v="4"/>
    <n v="11700000"/>
    <n v="0.05"/>
    <n v="44460000"/>
    <x v="1"/>
    <s v="Belum Lunas"/>
  </r>
  <r>
    <s v="TRX-049"/>
    <x v="38"/>
    <x v="1"/>
    <s v="Citra"/>
    <x v="6"/>
    <n v="6"/>
    <n v="3650000"/>
    <n v="0"/>
    <n v="21900000"/>
    <x v="1"/>
    <s v="Belum Lunas"/>
  </r>
  <r>
    <s v="TRX-050"/>
    <x v="39"/>
    <x v="4"/>
    <s v="Dina"/>
    <x v="0"/>
    <n v="7"/>
    <n v="3700000"/>
    <n v="0"/>
    <n v="25900000"/>
    <x v="0"/>
    <s v="Lunas"/>
  </r>
  <r>
    <s v="TRX-051"/>
    <x v="40"/>
    <x v="3"/>
    <s v="Andi"/>
    <x v="5"/>
    <n v="1"/>
    <n v="350000"/>
    <n v="0.15"/>
    <n v="297500"/>
    <x v="0"/>
    <s v="Lunas"/>
  </r>
  <r>
    <s v="TRX-052"/>
    <x v="17"/>
    <x v="4"/>
    <s v="Fajar"/>
    <x v="6"/>
    <n v="6"/>
    <n v="1700000"/>
    <n v="0.1"/>
    <n v="9180000"/>
    <x v="1"/>
    <s v="Belum Lunas"/>
  </r>
  <r>
    <s v="TRX-053"/>
    <x v="2"/>
    <x v="4"/>
    <s v="Eko"/>
    <x v="2"/>
    <n v="6"/>
    <n v="950000"/>
    <n v="0.05"/>
    <n v="5415000"/>
    <x v="1"/>
    <s v="Lunas"/>
  </r>
  <r>
    <s v="TRX-054"/>
    <x v="41"/>
    <x v="2"/>
    <s v="Citra"/>
    <x v="6"/>
    <n v="3"/>
    <n v="3650000"/>
    <n v="0.1"/>
    <n v="9855000"/>
    <x v="2"/>
    <s v="Lunas"/>
  </r>
  <r>
    <s v="TRX-055"/>
    <x v="42"/>
    <x v="2"/>
    <s v="Fajar"/>
    <x v="2"/>
    <n v="7"/>
    <n v="600000"/>
    <n v="0.1"/>
    <n v="3780000"/>
    <x v="2"/>
    <s v="Belum Lunas"/>
  </r>
  <r>
    <s v="TRX-056"/>
    <x v="43"/>
    <x v="3"/>
    <s v="Fajar"/>
    <x v="4"/>
    <n v="4"/>
    <n v="1750000"/>
    <n v="0.1"/>
    <n v="6300000"/>
    <x v="1"/>
    <s v="Lunas"/>
  </r>
  <r>
    <s v="TRX-057"/>
    <x v="31"/>
    <x v="4"/>
    <s v="Budi"/>
    <x v="3"/>
    <n v="4"/>
    <n v="500000"/>
    <n v="0.15"/>
    <n v="1700000"/>
    <x v="1"/>
    <s v="Lunas"/>
  </r>
  <r>
    <s v="TRX-058"/>
    <x v="44"/>
    <x v="1"/>
    <s v="Dina"/>
    <x v="1"/>
    <n v="8"/>
    <n v="9050000"/>
    <n v="0.1"/>
    <n v="65160000"/>
    <x v="2"/>
    <s v="Lunas"/>
  </r>
  <r>
    <s v="TRX-059"/>
    <x v="45"/>
    <x v="0"/>
    <s v="Fajar"/>
    <x v="6"/>
    <n v="7"/>
    <n v="3050000"/>
    <n v="0"/>
    <n v="21350000"/>
    <x v="0"/>
    <s v="Lunas"/>
  </r>
  <r>
    <s v="TRX-060"/>
    <x v="46"/>
    <x v="2"/>
    <s v="Dina"/>
    <x v="6"/>
    <n v="3"/>
    <n v="2200000"/>
    <n v="0.15"/>
    <n v="5610000"/>
    <x v="1"/>
    <s v="Lunas"/>
  </r>
  <r>
    <s v="TRX-061"/>
    <x v="19"/>
    <x v="2"/>
    <s v="Eko"/>
    <x v="4"/>
    <n v="8"/>
    <n v="900000"/>
    <n v="0.15"/>
    <n v="6120000"/>
    <x v="0"/>
    <s v="Belum Lunas"/>
  </r>
  <r>
    <s v="TRX-062"/>
    <x v="43"/>
    <x v="3"/>
    <s v="Dina"/>
    <x v="6"/>
    <n v="8"/>
    <n v="3250000"/>
    <n v="0"/>
    <n v="26000000"/>
    <x v="2"/>
    <s v="Lunas"/>
  </r>
  <r>
    <s v="TRX-063"/>
    <x v="0"/>
    <x v="0"/>
    <s v="Citra"/>
    <x v="2"/>
    <n v="8"/>
    <n v="1100000"/>
    <n v="0.15"/>
    <n v="7480000"/>
    <x v="2"/>
    <s v="Lunas"/>
  </r>
  <r>
    <s v="TRX-064"/>
    <x v="31"/>
    <x v="2"/>
    <s v="Andi"/>
    <x v="5"/>
    <n v="6"/>
    <n v="350000"/>
    <n v="0"/>
    <n v="2100000"/>
    <x v="1"/>
    <s v="Lunas"/>
  </r>
  <r>
    <s v="TRX-065"/>
    <x v="47"/>
    <x v="0"/>
    <s v="Andi"/>
    <x v="6"/>
    <n v="3"/>
    <n v="3700000"/>
    <n v="0.15"/>
    <n v="9435000"/>
    <x v="2"/>
    <s v="Belum Lunas"/>
  </r>
  <r>
    <s v="TRX-066"/>
    <x v="20"/>
    <x v="3"/>
    <s v="Dina"/>
    <x v="4"/>
    <n v="1"/>
    <n v="1350000"/>
    <n v="0"/>
    <n v="1350000"/>
    <x v="0"/>
    <s v="Lunas"/>
  </r>
  <r>
    <s v="TRX-067"/>
    <x v="6"/>
    <x v="4"/>
    <s v="Dina"/>
    <x v="6"/>
    <n v="1"/>
    <n v="3000000"/>
    <n v="0"/>
    <n v="3000000"/>
    <x v="2"/>
    <s v="Lunas"/>
  </r>
  <r>
    <s v="TRX-068"/>
    <x v="48"/>
    <x v="1"/>
    <s v="Dina"/>
    <x v="5"/>
    <n v="7"/>
    <n v="350000"/>
    <n v="0.05"/>
    <n v="2327500"/>
    <x v="2"/>
    <s v="Belum Lunas"/>
  </r>
  <r>
    <s v="TRX-069"/>
    <x v="49"/>
    <x v="2"/>
    <s v="Andi"/>
    <x v="4"/>
    <n v="3"/>
    <n v="2150000"/>
    <n v="0.1"/>
    <n v="5805000"/>
    <x v="2"/>
    <s v="Lunas"/>
  </r>
  <r>
    <s v="TRX-070"/>
    <x v="50"/>
    <x v="1"/>
    <s v="Citra"/>
    <x v="6"/>
    <n v="8"/>
    <n v="1900000"/>
    <n v="0"/>
    <n v="15200000"/>
    <x v="2"/>
    <s v="Belum Lunas"/>
  </r>
  <r>
    <s v="TRX-071"/>
    <x v="4"/>
    <x v="4"/>
    <s v="Dina"/>
    <x v="4"/>
    <n v="6"/>
    <n v="1200000"/>
    <n v="0.05"/>
    <n v="6840000"/>
    <x v="2"/>
    <s v="Lunas"/>
  </r>
  <r>
    <s v="TRX-072"/>
    <x v="51"/>
    <x v="0"/>
    <s v="Fajar"/>
    <x v="1"/>
    <n v="1"/>
    <n v="10950000"/>
    <n v="0"/>
    <n v="10950000"/>
    <x v="1"/>
    <s v="Lunas"/>
  </r>
  <r>
    <s v="TRX-073"/>
    <x v="44"/>
    <x v="0"/>
    <s v="Budi"/>
    <x v="5"/>
    <n v="1"/>
    <n v="300000"/>
    <n v="0.1"/>
    <n v="270000"/>
    <x v="1"/>
    <s v="Belum Lunas"/>
  </r>
  <r>
    <s v="TRX-074"/>
    <x v="35"/>
    <x v="4"/>
    <s v="Citra"/>
    <x v="0"/>
    <n v="4"/>
    <n v="3600000"/>
    <n v="0.05"/>
    <n v="13680000"/>
    <x v="1"/>
    <s v="Lunas"/>
  </r>
  <r>
    <s v="TRX-075"/>
    <x v="52"/>
    <x v="2"/>
    <s v="Fajar"/>
    <x v="2"/>
    <n v="1"/>
    <n v="450000"/>
    <n v="0"/>
    <n v="450000"/>
    <x v="2"/>
    <s v="Belum Lunas"/>
  </r>
  <r>
    <s v="TRX-076"/>
    <x v="53"/>
    <x v="4"/>
    <s v="Fajar"/>
    <x v="0"/>
    <n v="4"/>
    <n v="3650000"/>
    <n v="0"/>
    <n v="14600000"/>
    <x v="0"/>
    <s v="Lunas"/>
  </r>
  <r>
    <s v="TRX-077"/>
    <x v="54"/>
    <x v="4"/>
    <s v="Andi"/>
    <x v="1"/>
    <n v="7"/>
    <n v="9700000"/>
    <n v="0.15"/>
    <n v="57715000"/>
    <x v="0"/>
    <s v="Belum Lunas"/>
  </r>
  <r>
    <s v="TRX-078"/>
    <x v="55"/>
    <x v="4"/>
    <s v="Fajar"/>
    <x v="6"/>
    <n v="2"/>
    <n v="3050000"/>
    <n v="0.05"/>
    <n v="5795000"/>
    <x v="2"/>
    <s v="Lunas"/>
  </r>
  <r>
    <s v="TRX-079"/>
    <x v="56"/>
    <x v="2"/>
    <s v="Dina"/>
    <x v="7"/>
    <n v="5"/>
    <n v="800000"/>
    <n v="0.1"/>
    <n v="3600000"/>
    <x v="2"/>
    <s v="Belum Lunas"/>
  </r>
  <r>
    <s v="TRX-080"/>
    <x v="3"/>
    <x v="4"/>
    <s v="Dina"/>
    <x v="2"/>
    <n v="4"/>
    <n v="800000"/>
    <n v="0"/>
    <n v="3200000"/>
    <x v="1"/>
    <s v="Belum Lunas"/>
  </r>
  <r>
    <s v="TRX-081"/>
    <x v="54"/>
    <x v="4"/>
    <s v="Budi"/>
    <x v="6"/>
    <n v="1"/>
    <n v="2550000"/>
    <n v="0.05"/>
    <n v="2422500"/>
    <x v="2"/>
    <s v="Lunas"/>
  </r>
  <r>
    <s v="TRX-082"/>
    <x v="21"/>
    <x v="4"/>
    <s v="Eko"/>
    <x v="2"/>
    <n v="5"/>
    <n v="800000"/>
    <n v="0.1"/>
    <n v="3600000"/>
    <x v="1"/>
    <s v="Lunas"/>
  </r>
  <r>
    <s v="TRX-083"/>
    <x v="50"/>
    <x v="2"/>
    <s v="Budi"/>
    <x v="5"/>
    <n v="7"/>
    <n v="700000"/>
    <n v="0.05"/>
    <n v="4655000"/>
    <x v="0"/>
    <s v="Belum Lunas"/>
  </r>
  <r>
    <s v="TRX-084"/>
    <x v="57"/>
    <x v="4"/>
    <s v="Budi"/>
    <x v="4"/>
    <n v="1"/>
    <n v="1400000"/>
    <n v="0"/>
    <n v="1400000"/>
    <x v="2"/>
    <s v="Lunas"/>
  </r>
  <r>
    <s v="TRX-085"/>
    <x v="58"/>
    <x v="2"/>
    <s v="Citra"/>
    <x v="3"/>
    <n v="6"/>
    <n v="1150000"/>
    <n v="0.05"/>
    <n v="6555000"/>
    <x v="2"/>
    <s v="Belum Lunas"/>
  </r>
  <r>
    <s v="TRX-086"/>
    <x v="9"/>
    <x v="0"/>
    <s v="Citra"/>
    <x v="2"/>
    <n v="4"/>
    <n v="700000"/>
    <n v="0"/>
    <n v="2800000"/>
    <x v="1"/>
    <s v="Lunas"/>
  </r>
  <r>
    <s v="TRX-087"/>
    <x v="59"/>
    <x v="2"/>
    <s v="Eko"/>
    <x v="5"/>
    <n v="8"/>
    <n v="700000"/>
    <n v="0"/>
    <n v="5600000"/>
    <x v="0"/>
    <s v="Belum Lunas"/>
  </r>
  <r>
    <s v="TRX-088"/>
    <x v="7"/>
    <x v="0"/>
    <s v="Citra"/>
    <x v="5"/>
    <n v="4"/>
    <n v="350000"/>
    <n v="0"/>
    <n v="1400000"/>
    <x v="1"/>
    <s v="Lunas"/>
  </r>
  <r>
    <s v="TRX-089"/>
    <x v="60"/>
    <x v="0"/>
    <s v="Fajar"/>
    <x v="1"/>
    <n v="5"/>
    <n v="7800000"/>
    <n v="0.15"/>
    <n v="33150000"/>
    <x v="2"/>
    <s v="Lunas"/>
  </r>
  <r>
    <s v="TRX-090"/>
    <x v="55"/>
    <x v="4"/>
    <s v="Budi"/>
    <x v="2"/>
    <n v="8"/>
    <n v="1050000"/>
    <n v="0.05"/>
    <n v="7980000"/>
    <x v="1"/>
    <s v="Belum Lunas"/>
  </r>
  <r>
    <s v="TRX-091"/>
    <x v="61"/>
    <x v="3"/>
    <s v="Andi"/>
    <x v="0"/>
    <n v="2"/>
    <n v="4400000"/>
    <n v="0.05"/>
    <n v="8360000"/>
    <x v="0"/>
    <s v="Lunas"/>
  </r>
  <r>
    <s v="TRX-092"/>
    <x v="16"/>
    <x v="0"/>
    <s v="Andi"/>
    <x v="7"/>
    <n v="5"/>
    <n v="850000"/>
    <n v="0"/>
    <n v="4250000"/>
    <x v="0"/>
    <s v="Belum Lunas"/>
  </r>
  <r>
    <s v="TRX-093"/>
    <x v="62"/>
    <x v="3"/>
    <s v="Citra"/>
    <x v="5"/>
    <n v="7"/>
    <n v="550000"/>
    <n v="0.05"/>
    <n v="3657500"/>
    <x v="0"/>
    <s v="Belum Lunas"/>
  </r>
  <r>
    <s v="TRX-094"/>
    <x v="58"/>
    <x v="0"/>
    <s v="Citra"/>
    <x v="1"/>
    <n v="2"/>
    <n v="11400000"/>
    <n v="0"/>
    <n v="22800000"/>
    <x v="0"/>
    <s v="Lunas"/>
  </r>
  <r>
    <s v="TRX-095"/>
    <x v="52"/>
    <x v="1"/>
    <s v="Dina"/>
    <x v="5"/>
    <n v="2"/>
    <n v="250000"/>
    <n v="0"/>
    <n v="500000"/>
    <x v="2"/>
    <s v="Belum Lunas"/>
  </r>
  <r>
    <s v="TRX-096"/>
    <x v="63"/>
    <x v="4"/>
    <s v="Fajar"/>
    <x v="1"/>
    <n v="5"/>
    <n v="8950000"/>
    <n v="0.15"/>
    <n v="38037500"/>
    <x v="2"/>
    <s v="Lunas"/>
  </r>
  <r>
    <s v="TRX-097"/>
    <x v="14"/>
    <x v="1"/>
    <s v="Eko"/>
    <x v="5"/>
    <n v="4"/>
    <n v="350000"/>
    <n v="0.05"/>
    <n v="1330000"/>
    <x v="1"/>
    <s v="Lunas"/>
  </r>
  <r>
    <s v="TRX-098"/>
    <x v="9"/>
    <x v="4"/>
    <s v="Eko"/>
    <x v="7"/>
    <n v="1"/>
    <n v="300000"/>
    <n v="0"/>
    <n v="300000"/>
    <x v="0"/>
    <s v="Belum Lunas"/>
  </r>
  <r>
    <s v="TRX-099"/>
    <x v="43"/>
    <x v="3"/>
    <s v="Citra"/>
    <x v="0"/>
    <n v="5"/>
    <n v="3250000"/>
    <n v="0.15"/>
    <n v="13812500"/>
    <x v="0"/>
    <s v="Belum Lunas"/>
  </r>
  <r>
    <s v="TRX-100"/>
    <x v="43"/>
    <x v="4"/>
    <s v="Eko"/>
    <x v="0"/>
    <n v="1"/>
    <n v="3700000"/>
    <n v="0.05"/>
    <n v="3515000"/>
    <x v="2"/>
    <s v="Lun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EDF7C-A59A-4805-9490-E0BC6CDB02E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1:B19" firstHeaderRow="1" firstDataRow="1" firstDataCol="1"/>
  <pivotFields count="13">
    <pivotField showAll="0"/>
    <pivotField numFmtId="164" showAll="0">
      <items count="65">
        <item x="55"/>
        <item x="44"/>
        <item x="39"/>
        <item x="5"/>
        <item x="24"/>
        <item x="22"/>
        <item x="18"/>
        <item x="33"/>
        <item x="50"/>
        <item x="7"/>
        <item x="46"/>
        <item x="12"/>
        <item x="19"/>
        <item x="34"/>
        <item x="23"/>
        <item x="10"/>
        <item x="16"/>
        <item x="52"/>
        <item x="49"/>
        <item x="28"/>
        <item x="59"/>
        <item x="53"/>
        <item x="8"/>
        <item x="4"/>
        <item x="37"/>
        <item x="47"/>
        <item x="15"/>
        <item x="9"/>
        <item x="60"/>
        <item x="31"/>
        <item x="63"/>
        <item x="42"/>
        <item x="58"/>
        <item x="27"/>
        <item x="20"/>
        <item x="38"/>
        <item x="21"/>
        <item x="17"/>
        <item x="13"/>
        <item x="40"/>
        <item x="25"/>
        <item x="36"/>
        <item x="41"/>
        <item x="26"/>
        <item x="56"/>
        <item x="43"/>
        <item x="29"/>
        <item x="51"/>
        <item x="61"/>
        <item x="48"/>
        <item x="2"/>
        <item x="30"/>
        <item x="54"/>
        <item x="6"/>
        <item x="11"/>
        <item x="3"/>
        <item x="62"/>
        <item x="0"/>
        <item x="57"/>
        <item x="32"/>
        <item x="35"/>
        <item x="1"/>
        <item x="14"/>
        <item x="45"/>
        <item t="default"/>
      </items>
    </pivotField>
    <pivotField showAll="0"/>
    <pivotField showAll="0"/>
    <pivotField axis="axisRow" showAll="0" sortType="descending">
      <items count="9">
        <item x="2"/>
        <item x="7"/>
        <item x="1"/>
        <item x="0"/>
        <item x="5"/>
        <item x="6"/>
        <item x="4"/>
        <item x="3"/>
        <item t="default"/>
      </items>
      <autoSortScope>
        <pivotArea dataOnly="0" outline="0" fieldPosition="0">
          <references count="1">
            <reference field="4294967294" count="1" selected="0">
              <x v="0"/>
            </reference>
          </references>
        </pivotArea>
      </autoSortScope>
    </pivotField>
    <pivotField showAll="0"/>
    <pivotField numFmtId="3" showAll="0"/>
    <pivotField numFmtId="9" showAll="0"/>
    <pivotField dataField="1" numFmtId="3" showAll="0"/>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8">
    <i>
      <x v="2"/>
    </i>
    <i>
      <x v="5"/>
    </i>
    <i>
      <x v="3"/>
    </i>
    <i>
      <x v="6"/>
    </i>
    <i>
      <x/>
    </i>
    <i>
      <x v="4"/>
    </i>
    <i>
      <x v="1"/>
    </i>
    <i>
      <x v="7"/>
    </i>
  </rowItems>
  <colItems count="1">
    <i/>
  </colItems>
  <dataFields count="1">
    <dataField name="Sum of Total Penjualan" fld="8"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CA7B4-9C5E-46C3-8835-1D92629AEEA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8" firstHeaderRow="1" firstDataRow="1" firstDataCol="1"/>
  <pivotFields count="13">
    <pivotField showAll="0"/>
    <pivotField numFmtId="164" showAll="0">
      <items count="65">
        <item x="55"/>
        <item x="44"/>
        <item x="39"/>
        <item x="5"/>
        <item x="24"/>
        <item x="22"/>
        <item x="18"/>
        <item x="33"/>
        <item x="50"/>
        <item x="7"/>
        <item x="46"/>
        <item x="12"/>
        <item x="19"/>
        <item x="34"/>
        <item x="23"/>
        <item x="10"/>
        <item x="16"/>
        <item x="52"/>
        <item x="49"/>
        <item x="28"/>
        <item x="59"/>
        <item x="53"/>
        <item x="8"/>
        <item x="4"/>
        <item x="37"/>
        <item x="47"/>
        <item x="15"/>
        <item x="9"/>
        <item x="60"/>
        <item x="31"/>
        <item x="63"/>
        <item x="42"/>
        <item x="58"/>
        <item x="27"/>
        <item x="20"/>
        <item x="38"/>
        <item x="21"/>
        <item x="17"/>
        <item x="13"/>
        <item x="40"/>
        <item x="25"/>
        <item x="36"/>
        <item x="41"/>
        <item x="26"/>
        <item x="56"/>
        <item x="43"/>
        <item x="29"/>
        <item x="51"/>
        <item x="61"/>
        <item x="48"/>
        <item x="2"/>
        <item x="30"/>
        <item x="54"/>
        <item x="6"/>
        <item x="11"/>
        <item x="3"/>
        <item x="62"/>
        <item x="0"/>
        <item x="57"/>
        <item x="32"/>
        <item x="35"/>
        <item x="1"/>
        <item x="14"/>
        <item x="45"/>
        <item t="default"/>
      </items>
    </pivotField>
    <pivotField axis="axisRow" showAll="0">
      <items count="6">
        <item x="1"/>
        <item x="3"/>
        <item x="2"/>
        <item x="0"/>
        <item x="4"/>
        <item t="default"/>
      </items>
    </pivotField>
    <pivotField showAll="0"/>
    <pivotField showAll="0"/>
    <pivotField showAll="0"/>
    <pivotField numFmtId="3" showAll="0"/>
    <pivotField numFmtId="9" showAll="0"/>
    <pivotField dataField="1" numFmtId="3" showAll="0"/>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x v="4"/>
    </i>
  </rowItems>
  <colItems count="1">
    <i/>
  </colItems>
  <dataFields count="1">
    <dataField name="Sum of Total Penjualan" fld="8" baseField="0" baseItem="0" numFmtId="3"/>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C083DA-9DC2-4ED8-86B0-4371FEACEFB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3:E6" firstHeaderRow="1" firstDataRow="1" firstDataCol="1"/>
  <pivotFields count="13">
    <pivotField showAll="0"/>
    <pivotField axis="axisRow" numFmtId="164" showAll="0">
      <items count="65">
        <item x="55"/>
        <item x="44"/>
        <item x="39"/>
        <item x="5"/>
        <item x="24"/>
        <item x="22"/>
        <item x="18"/>
        <item x="33"/>
        <item x="50"/>
        <item x="7"/>
        <item x="46"/>
        <item x="12"/>
        <item x="19"/>
        <item x="34"/>
        <item x="23"/>
        <item x="10"/>
        <item x="16"/>
        <item x="52"/>
        <item x="49"/>
        <item x="28"/>
        <item x="59"/>
        <item x="53"/>
        <item x="8"/>
        <item x="4"/>
        <item x="37"/>
        <item x="47"/>
        <item x="15"/>
        <item x="9"/>
        <item x="60"/>
        <item x="31"/>
        <item x="63"/>
        <item x="42"/>
        <item x="58"/>
        <item x="27"/>
        <item x="20"/>
        <item x="38"/>
        <item x="21"/>
        <item x="17"/>
        <item x="13"/>
        <item x="40"/>
        <item x="25"/>
        <item x="36"/>
        <item x="41"/>
        <item x="26"/>
        <item x="56"/>
        <item x="43"/>
        <item x="29"/>
        <item x="51"/>
        <item x="61"/>
        <item x="48"/>
        <item x="2"/>
        <item x="30"/>
        <item x="54"/>
        <item x="6"/>
        <item x="11"/>
        <item x="3"/>
        <item x="62"/>
        <item x="0"/>
        <item x="57"/>
        <item x="32"/>
        <item x="35"/>
        <item x="1"/>
        <item x="14"/>
        <item x="45"/>
        <item t="default"/>
      </items>
    </pivotField>
    <pivotField showAll="0"/>
    <pivotField showAll="0"/>
    <pivotField showAll="0"/>
    <pivotField showAll="0"/>
    <pivotField numFmtId="3" showAll="0"/>
    <pivotField numFmtId="9" showAll="0"/>
    <pivotField dataField="1" numFmtId="3" showAll="0"/>
    <pivotField showAll="0">
      <items count="4">
        <item x="2"/>
        <item x="1"/>
        <item x="0"/>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2"/>
    <field x="11"/>
    <field x="1"/>
  </rowFields>
  <rowItems count="3">
    <i>
      <x v="1"/>
    </i>
    <i>
      <x v="2"/>
    </i>
    <i>
      <x v="3"/>
    </i>
  </rowItems>
  <colItems count="1">
    <i/>
  </colItems>
  <dataFields count="1">
    <dataField name="Sum of Total Penjualan" fld="8" baseField="0" baseItem="0" numFmtId="3"/>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A778B4F8-3CC1-44BD-A38B-C3F4F1DFE863}" sourceName="Channel">
  <pivotTables>
    <pivotTable tabId="7" name="PivotTable2"/>
    <pivotTable tabId="7" name="PivotTable1"/>
    <pivotTable tabId="7" name="PivotTable3"/>
  </pivotTables>
  <data>
    <tabular pivotCacheId="160888639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FEA97FAB-8E04-4F32-B6B6-042AC9292182}" cache="Slicer_Channel1" caption="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18E76B8A-88A0-463A-B901-F643CBE73D45}" cache="Slicer_Channel1" caption="Channel"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zoomScale="93" zoomScaleNormal="93" workbookViewId="0">
      <pane ySplit="1" topLeftCell="A2" activePane="bottomLeft" state="frozen"/>
      <selection pane="bottomLeft" activeCell="L4" sqref="L4"/>
    </sheetView>
  </sheetViews>
  <sheetFormatPr defaultRowHeight="14.5" x14ac:dyDescent="0.35"/>
  <cols>
    <col min="1" max="1" width="14" customWidth="1"/>
    <col min="2" max="2" width="21" customWidth="1"/>
    <col min="3" max="3" width="17" customWidth="1"/>
    <col min="4" max="6" width="12" customWidth="1"/>
    <col min="7" max="7" width="14" customWidth="1"/>
    <col min="8" max="8" width="12" customWidth="1"/>
    <col min="9" max="9" width="17" customWidth="1"/>
    <col min="10" max="10" width="13" customWidth="1"/>
    <col min="11" max="11" width="19"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s="2">
        <v>46104</v>
      </c>
      <c r="C2" t="s">
        <v>12</v>
      </c>
      <c r="D2" t="s">
        <v>13</v>
      </c>
      <c r="E2" t="s">
        <v>14</v>
      </c>
      <c r="F2">
        <v>5</v>
      </c>
      <c r="G2" s="3">
        <v>1850000</v>
      </c>
      <c r="H2" s="4">
        <v>0</v>
      </c>
      <c r="I2" s="3">
        <f>F2*G2*(1-H2)</f>
        <v>9250000</v>
      </c>
      <c r="J2" t="s">
        <v>15</v>
      </c>
      <c r="K2" t="s">
        <v>16</v>
      </c>
    </row>
    <row r="3" spans="1:11" x14ac:dyDescent="0.35">
      <c r="A3" t="s">
        <v>17</v>
      </c>
      <c r="B3" s="2">
        <v>46109</v>
      </c>
      <c r="C3" t="s">
        <v>18</v>
      </c>
      <c r="D3" t="s">
        <v>19</v>
      </c>
      <c r="E3" t="s">
        <v>14</v>
      </c>
      <c r="F3">
        <v>7</v>
      </c>
      <c r="G3" s="3">
        <v>3650000</v>
      </c>
      <c r="H3" s="4">
        <v>0</v>
      </c>
      <c r="I3" s="3">
        <f t="shared" ref="I3:I66" si="0">F3*G3*(1-H3)</f>
        <v>25550000</v>
      </c>
      <c r="J3" t="s">
        <v>20</v>
      </c>
      <c r="K3" t="s">
        <v>16</v>
      </c>
    </row>
    <row r="4" spans="1:11" x14ac:dyDescent="0.35">
      <c r="A4" t="s">
        <v>21</v>
      </c>
      <c r="B4" s="2">
        <v>46087</v>
      </c>
      <c r="C4" t="s">
        <v>22</v>
      </c>
      <c r="D4" t="s">
        <v>23</v>
      </c>
      <c r="E4" t="s">
        <v>24</v>
      </c>
      <c r="F4">
        <v>4</v>
      </c>
      <c r="G4" s="3">
        <v>11050000</v>
      </c>
      <c r="H4" s="4">
        <v>0.15</v>
      </c>
      <c r="I4" s="3">
        <f t="shared" si="0"/>
        <v>37570000</v>
      </c>
      <c r="J4" t="s">
        <v>20</v>
      </c>
      <c r="K4" t="s">
        <v>25</v>
      </c>
    </row>
    <row r="5" spans="1:11" x14ac:dyDescent="0.35">
      <c r="A5" t="s">
        <v>26</v>
      </c>
      <c r="B5" s="2">
        <v>46098</v>
      </c>
      <c r="C5" t="s">
        <v>27</v>
      </c>
      <c r="D5" t="s">
        <v>28</v>
      </c>
      <c r="E5" t="s">
        <v>29</v>
      </c>
      <c r="F5">
        <v>3</v>
      </c>
      <c r="G5" s="3">
        <v>300000</v>
      </c>
      <c r="H5" s="4">
        <v>0.15</v>
      </c>
      <c r="I5" s="3">
        <f t="shared" si="0"/>
        <v>765000</v>
      </c>
      <c r="J5" t="s">
        <v>30</v>
      </c>
      <c r="K5" t="s">
        <v>16</v>
      </c>
    </row>
    <row r="6" spans="1:11" x14ac:dyDescent="0.35">
      <c r="A6" t="s">
        <v>31</v>
      </c>
      <c r="B6" s="2">
        <v>46050</v>
      </c>
      <c r="C6" t="s">
        <v>18</v>
      </c>
      <c r="D6" t="s">
        <v>28</v>
      </c>
      <c r="E6" t="s">
        <v>32</v>
      </c>
      <c r="F6">
        <v>2</v>
      </c>
      <c r="G6" s="3">
        <v>550000</v>
      </c>
      <c r="H6" s="4">
        <v>0.05</v>
      </c>
      <c r="I6" s="3">
        <f t="shared" si="0"/>
        <v>1045000</v>
      </c>
      <c r="J6" t="s">
        <v>30</v>
      </c>
      <c r="K6" t="s">
        <v>25</v>
      </c>
    </row>
    <row r="7" spans="1:11" x14ac:dyDescent="0.35">
      <c r="A7" t="s">
        <v>33</v>
      </c>
      <c r="B7" s="2">
        <v>46028</v>
      </c>
      <c r="C7" t="s">
        <v>18</v>
      </c>
      <c r="D7" t="s">
        <v>34</v>
      </c>
      <c r="E7" t="s">
        <v>35</v>
      </c>
      <c r="F7">
        <v>2</v>
      </c>
      <c r="G7" s="3">
        <v>1550000</v>
      </c>
      <c r="H7" s="4">
        <v>0.05</v>
      </c>
      <c r="I7" s="3">
        <f t="shared" si="0"/>
        <v>2945000</v>
      </c>
      <c r="J7" t="s">
        <v>30</v>
      </c>
      <c r="K7" t="s">
        <v>25</v>
      </c>
    </row>
    <row r="8" spans="1:11" x14ac:dyDescent="0.35">
      <c r="A8" t="s">
        <v>36</v>
      </c>
      <c r="B8" s="2">
        <v>46096</v>
      </c>
      <c r="C8" t="s">
        <v>12</v>
      </c>
      <c r="D8" t="s">
        <v>28</v>
      </c>
      <c r="E8" t="s">
        <v>37</v>
      </c>
      <c r="F8">
        <v>2</v>
      </c>
      <c r="G8" s="3">
        <v>700000</v>
      </c>
      <c r="H8" s="4">
        <v>0</v>
      </c>
      <c r="I8" s="3">
        <f t="shared" si="0"/>
        <v>1400000</v>
      </c>
      <c r="J8" t="s">
        <v>20</v>
      </c>
      <c r="K8" t="s">
        <v>16</v>
      </c>
    </row>
    <row r="9" spans="1:11" x14ac:dyDescent="0.35">
      <c r="A9" t="s">
        <v>38</v>
      </c>
      <c r="B9" s="2">
        <v>46035</v>
      </c>
      <c r="C9" t="s">
        <v>39</v>
      </c>
      <c r="D9" t="s">
        <v>13</v>
      </c>
      <c r="E9" t="s">
        <v>40</v>
      </c>
      <c r="F9">
        <v>8</v>
      </c>
      <c r="G9" s="3">
        <v>2350000</v>
      </c>
      <c r="H9" s="4">
        <v>0.15</v>
      </c>
      <c r="I9" s="3">
        <f t="shared" si="0"/>
        <v>15980000</v>
      </c>
      <c r="J9" t="s">
        <v>30</v>
      </c>
      <c r="K9" t="s">
        <v>25</v>
      </c>
    </row>
    <row r="10" spans="1:11" x14ac:dyDescent="0.35">
      <c r="A10" t="s">
        <v>41</v>
      </c>
      <c r="B10" s="2">
        <v>46049</v>
      </c>
      <c r="C10" t="s">
        <v>12</v>
      </c>
      <c r="D10" t="s">
        <v>13</v>
      </c>
      <c r="E10" t="s">
        <v>29</v>
      </c>
      <c r="F10">
        <v>3</v>
      </c>
      <c r="G10" s="3">
        <v>400000</v>
      </c>
      <c r="H10" s="4">
        <v>0.1</v>
      </c>
      <c r="I10" s="3">
        <f t="shared" si="0"/>
        <v>1080000</v>
      </c>
      <c r="J10" t="s">
        <v>30</v>
      </c>
      <c r="K10" t="s">
        <v>25</v>
      </c>
    </row>
    <row r="11" spans="1:11" x14ac:dyDescent="0.35">
      <c r="A11" t="s">
        <v>42</v>
      </c>
      <c r="B11" s="2">
        <v>46057</v>
      </c>
      <c r="C11" t="s">
        <v>12</v>
      </c>
      <c r="D11" t="s">
        <v>19</v>
      </c>
      <c r="E11" t="s">
        <v>37</v>
      </c>
      <c r="F11">
        <v>6</v>
      </c>
      <c r="G11" s="3">
        <v>650000</v>
      </c>
      <c r="H11" s="4">
        <v>0</v>
      </c>
      <c r="I11" s="3">
        <f t="shared" si="0"/>
        <v>3900000</v>
      </c>
      <c r="J11" t="s">
        <v>30</v>
      </c>
      <c r="K11" t="s">
        <v>25</v>
      </c>
    </row>
    <row r="12" spans="1:11" x14ac:dyDescent="0.35">
      <c r="A12" t="s">
        <v>43</v>
      </c>
      <c r="B12" s="2">
        <v>46057</v>
      </c>
      <c r="C12" t="s">
        <v>27</v>
      </c>
      <c r="D12" t="s">
        <v>23</v>
      </c>
      <c r="E12" t="s">
        <v>14</v>
      </c>
      <c r="F12">
        <v>6</v>
      </c>
      <c r="G12" s="3">
        <v>2450000</v>
      </c>
      <c r="H12" s="4">
        <v>0</v>
      </c>
      <c r="I12" s="3">
        <f t="shared" si="0"/>
        <v>14700000</v>
      </c>
      <c r="J12" t="s">
        <v>15</v>
      </c>
      <c r="K12" t="s">
        <v>25</v>
      </c>
    </row>
    <row r="13" spans="1:11" x14ac:dyDescent="0.35">
      <c r="A13" t="s">
        <v>44</v>
      </c>
      <c r="B13" s="2">
        <v>46041</v>
      </c>
      <c r="C13" t="s">
        <v>22</v>
      </c>
      <c r="D13" t="s">
        <v>34</v>
      </c>
      <c r="E13" t="s">
        <v>29</v>
      </c>
      <c r="F13">
        <v>4</v>
      </c>
      <c r="G13" s="3">
        <v>500000</v>
      </c>
      <c r="H13" s="4">
        <v>0.15</v>
      </c>
      <c r="I13" s="3">
        <f t="shared" si="0"/>
        <v>1700000</v>
      </c>
      <c r="J13" t="s">
        <v>30</v>
      </c>
      <c r="K13" t="s">
        <v>25</v>
      </c>
    </row>
    <row r="14" spans="1:11" x14ac:dyDescent="0.35">
      <c r="A14" t="s">
        <v>45</v>
      </c>
      <c r="B14" s="2">
        <v>46097</v>
      </c>
      <c r="C14" t="s">
        <v>22</v>
      </c>
      <c r="D14" t="s">
        <v>23</v>
      </c>
      <c r="E14" t="s">
        <v>40</v>
      </c>
      <c r="F14">
        <v>4</v>
      </c>
      <c r="G14" s="3">
        <v>2650000</v>
      </c>
      <c r="H14" s="4">
        <v>0</v>
      </c>
      <c r="I14" s="3">
        <f t="shared" si="0"/>
        <v>10600000</v>
      </c>
      <c r="J14" t="s">
        <v>20</v>
      </c>
      <c r="K14" t="s">
        <v>16</v>
      </c>
    </row>
    <row r="15" spans="1:11" x14ac:dyDescent="0.35">
      <c r="A15" t="s">
        <v>46</v>
      </c>
      <c r="B15" s="2">
        <v>46037</v>
      </c>
      <c r="C15" t="s">
        <v>27</v>
      </c>
      <c r="D15" t="s">
        <v>34</v>
      </c>
      <c r="E15" t="s">
        <v>47</v>
      </c>
      <c r="F15">
        <v>3</v>
      </c>
      <c r="G15" s="3">
        <v>750000</v>
      </c>
      <c r="H15" s="4">
        <v>0.15</v>
      </c>
      <c r="I15" s="3">
        <f t="shared" si="0"/>
        <v>1912500</v>
      </c>
      <c r="J15" t="s">
        <v>20</v>
      </c>
      <c r="K15" t="s">
        <v>25</v>
      </c>
    </row>
    <row r="16" spans="1:11" x14ac:dyDescent="0.35">
      <c r="A16" t="s">
        <v>48</v>
      </c>
      <c r="B16" s="2">
        <v>46071</v>
      </c>
      <c r="C16" t="s">
        <v>18</v>
      </c>
      <c r="D16" t="s">
        <v>49</v>
      </c>
      <c r="E16" t="s">
        <v>35</v>
      </c>
      <c r="F16">
        <v>5</v>
      </c>
      <c r="G16" s="3">
        <v>1500000</v>
      </c>
      <c r="H16" s="4">
        <v>0.1</v>
      </c>
      <c r="I16" s="3">
        <f t="shared" si="0"/>
        <v>6750000</v>
      </c>
      <c r="J16" t="s">
        <v>15</v>
      </c>
      <c r="K16" t="s">
        <v>16</v>
      </c>
    </row>
    <row r="17" spans="1:11" x14ac:dyDescent="0.35">
      <c r="A17" t="s">
        <v>50</v>
      </c>
      <c r="B17" s="2">
        <v>46110</v>
      </c>
      <c r="C17" t="s">
        <v>27</v>
      </c>
      <c r="D17" t="s">
        <v>13</v>
      </c>
      <c r="E17" t="s">
        <v>29</v>
      </c>
      <c r="F17">
        <v>2</v>
      </c>
      <c r="G17" s="3">
        <v>800000</v>
      </c>
      <c r="H17" s="4">
        <v>0</v>
      </c>
      <c r="I17" s="3">
        <f t="shared" si="0"/>
        <v>1600000</v>
      </c>
      <c r="J17" t="s">
        <v>30</v>
      </c>
      <c r="K17" t="s">
        <v>16</v>
      </c>
    </row>
    <row r="18" spans="1:11" x14ac:dyDescent="0.35">
      <c r="A18" t="s">
        <v>51</v>
      </c>
      <c r="B18" s="2">
        <v>46056</v>
      </c>
      <c r="C18" t="s">
        <v>39</v>
      </c>
      <c r="D18" t="s">
        <v>49</v>
      </c>
      <c r="E18" t="s">
        <v>47</v>
      </c>
      <c r="F18">
        <v>2</v>
      </c>
      <c r="G18" s="3">
        <v>650000</v>
      </c>
      <c r="H18" s="4">
        <v>0.15</v>
      </c>
      <c r="I18" s="3">
        <f t="shared" si="0"/>
        <v>1105000</v>
      </c>
      <c r="J18" t="s">
        <v>15</v>
      </c>
      <c r="K18" t="s">
        <v>16</v>
      </c>
    </row>
    <row r="19" spans="1:11" x14ac:dyDescent="0.35">
      <c r="A19" t="s">
        <v>52</v>
      </c>
      <c r="B19" s="2">
        <v>46042</v>
      </c>
      <c r="C19" t="s">
        <v>39</v>
      </c>
      <c r="D19" t="s">
        <v>23</v>
      </c>
      <c r="E19" t="s">
        <v>32</v>
      </c>
      <c r="F19">
        <v>1</v>
      </c>
      <c r="G19" s="3">
        <v>650000</v>
      </c>
      <c r="H19" s="4">
        <v>0.1</v>
      </c>
      <c r="I19" s="3">
        <f t="shared" si="0"/>
        <v>585000</v>
      </c>
      <c r="J19" t="s">
        <v>20</v>
      </c>
      <c r="K19" t="s">
        <v>16</v>
      </c>
    </row>
    <row r="20" spans="1:11" x14ac:dyDescent="0.35">
      <c r="A20" t="s">
        <v>53</v>
      </c>
      <c r="B20" s="2">
        <v>46069</v>
      </c>
      <c r="C20" t="s">
        <v>22</v>
      </c>
      <c r="D20" t="s">
        <v>19</v>
      </c>
      <c r="E20" t="s">
        <v>29</v>
      </c>
      <c r="F20">
        <v>1</v>
      </c>
      <c r="G20" s="3">
        <v>650000</v>
      </c>
      <c r="H20" s="4">
        <v>0</v>
      </c>
      <c r="I20" s="3">
        <f t="shared" si="0"/>
        <v>650000</v>
      </c>
      <c r="J20" t="s">
        <v>20</v>
      </c>
      <c r="K20" t="s">
        <v>25</v>
      </c>
    </row>
    <row r="21" spans="1:11" x14ac:dyDescent="0.35">
      <c r="A21" t="s">
        <v>54</v>
      </c>
      <c r="B21" s="2">
        <v>46031</v>
      </c>
      <c r="C21" t="s">
        <v>12</v>
      </c>
      <c r="D21" t="s">
        <v>28</v>
      </c>
      <c r="E21" t="s">
        <v>47</v>
      </c>
      <c r="F21">
        <v>8</v>
      </c>
      <c r="G21" s="3">
        <v>350000</v>
      </c>
      <c r="H21" s="4">
        <v>0.1</v>
      </c>
      <c r="I21" s="3">
        <f t="shared" si="0"/>
        <v>2520000</v>
      </c>
      <c r="J21" t="s">
        <v>15</v>
      </c>
      <c r="K21" t="s">
        <v>25</v>
      </c>
    </row>
    <row r="22" spans="1:11" x14ac:dyDescent="0.35">
      <c r="A22" t="s">
        <v>55</v>
      </c>
      <c r="B22" s="2">
        <v>46050</v>
      </c>
      <c r="C22" t="s">
        <v>39</v>
      </c>
      <c r="D22" t="s">
        <v>23</v>
      </c>
      <c r="E22" t="s">
        <v>37</v>
      </c>
      <c r="F22">
        <v>5</v>
      </c>
      <c r="G22" s="3">
        <v>700000</v>
      </c>
      <c r="H22" s="4">
        <v>0.05</v>
      </c>
      <c r="I22" s="3">
        <f t="shared" si="0"/>
        <v>3325000</v>
      </c>
      <c r="J22" t="s">
        <v>15</v>
      </c>
      <c r="K22" t="s">
        <v>25</v>
      </c>
    </row>
    <row r="23" spans="1:11" x14ac:dyDescent="0.35">
      <c r="A23" t="s">
        <v>56</v>
      </c>
      <c r="B23" s="2">
        <v>46038</v>
      </c>
      <c r="C23" t="s">
        <v>18</v>
      </c>
      <c r="D23" t="s">
        <v>34</v>
      </c>
      <c r="E23" t="s">
        <v>37</v>
      </c>
      <c r="F23">
        <v>2</v>
      </c>
      <c r="G23" s="3">
        <v>300000</v>
      </c>
      <c r="H23" s="4">
        <v>0</v>
      </c>
      <c r="I23" s="3">
        <f t="shared" si="0"/>
        <v>600000</v>
      </c>
      <c r="J23" t="s">
        <v>15</v>
      </c>
      <c r="K23" t="s">
        <v>16</v>
      </c>
    </row>
    <row r="24" spans="1:11" x14ac:dyDescent="0.35">
      <c r="A24" t="s">
        <v>57</v>
      </c>
      <c r="B24" s="2">
        <v>46098</v>
      </c>
      <c r="C24" t="s">
        <v>18</v>
      </c>
      <c r="D24" t="s">
        <v>13</v>
      </c>
      <c r="E24" t="s">
        <v>37</v>
      </c>
      <c r="F24">
        <v>2</v>
      </c>
      <c r="G24" s="3">
        <v>150000</v>
      </c>
      <c r="H24" s="4">
        <v>0.15</v>
      </c>
      <c r="I24" s="3">
        <f t="shared" si="0"/>
        <v>255000</v>
      </c>
      <c r="J24" t="s">
        <v>20</v>
      </c>
      <c r="K24" t="s">
        <v>16</v>
      </c>
    </row>
    <row r="25" spans="1:11" x14ac:dyDescent="0.35">
      <c r="A25" t="s">
        <v>58</v>
      </c>
      <c r="B25" s="2">
        <v>46065</v>
      </c>
      <c r="C25" t="s">
        <v>27</v>
      </c>
      <c r="D25" t="s">
        <v>13</v>
      </c>
      <c r="E25" t="s">
        <v>14</v>
      </c>
      <c r="F25">
        <v>4</v>
      </c>
      <c r="G25" s="3">
        <v>3400000</v>
      </c>
      <c r="H25" s="4">
        <v>0</v>
      </c>
      <c r="I25" s="3">
        <f t="shared" si="0"/>
        <v>13600000</v>
      </c>
      <c r="J25" t="s">
        <v>15</v>
      </c>
      <c r="K25" t="s">
        <v>16</v>
      </c>
    </row>
    <row r="26" spans="1:11" x14ac:dyDescent="0.35">
      <c r="A26" t="s">
        <v>59</v>
      </c>
      <c r="B26" s="2">
        <v>46096</v>
      </c>
      <c r="C26" t="s">
        <v>12</v>
      </c>
      <c r="D26" t="s">
        <v>19</v>
      </c>
      <c r="E26" t="s">
        <v>35</v>
      </c>
      <c r="F26">
        <v>8</v>
      </c>
      <c r="G26" s="3">
        <v>1050000</v>
      </c>
      <c r="H26" s="4">
        <v>0.05</v>
      </c>
      <c r="I26" s="3">
        <f t="shared" si="0"/>
        <v>7980000</v>
      </c>
      <c r="J26" t="s">
        <v>20</v>
      </c>
      <c r="K26" t="s">
        <v>25</v>
      </c>
    </row>
    <row r="27" spans="1:11" x14ac:dyDescent="0.35">
      <c r="A27" t="s">
        <v>60</v>
      </c>
      <c r="B27" s="2">
        <v>46068</v>
      </c>
      <c r="C27" t="s">
        <v>18</v>
      </c>
      <c r="D27" t="s">
        <v>49</v>
      </c>
      <c r="E27" t="s">
        <v>40</v>
      </c>
      <c r="F27">
        <v>8</v>
      </c>
      <c r="G27" s="3">
        <v>2800000</v>
      </c>
      <c r="H27" s="4">
        <v>0.15</v>
      </c>
      <c r="I27" s="3">
        <f t="shared" si="0"/>
        <v>19040000</v>
      </c>
      <c r="J27" t="s">
        <v>15</v>
      </c>
      <c r="K27" t="s">
        <v>16</v>
      </c>
    </row>
    <row r="28" spans="1:11" x14ac:dyDescent="0.35">
      <c r="A28" t="s">
        <v>61</v>
      </c>
      <c r="B28" s="2">
        <v>46030</v>
      </c>
      <c r="C28" t="s">
        <v>12</v>
      </c>
      <c r="D28" t="s">
        <v>13</v>
      </c>
      <c r="E28" t="s">
        <v>40</v>
      </c>
      <c r="F28">
        <v>6</v>
      </c>
      <c r="G28" s="3">
        <v>3800000</v>
      </c>
      <c r="H28" s="4">
        <v>0</v>
      </c>
      <c r="I28" s="3">
        <f t="shared" si="0"/>
        <v>22800000</v>
      </c>
      <c r="J28" t="s">
        <v>20</v>
      </c>
      <c r="K28" t="s">
        <v>25</v>
      </c>
    </row>
    <row r="29" spans="1:11" x14ac:dyDescent="0.35">
      <c r="A29" t="s">
        <v>62</v>
      </c>
      <c r="B29" s="2">
        <v>46040</v>
      </c>
      <c r="C29" t="s">
        <v>12</v>
      </c>
      <c r="D29" t="s">
        <v>19</v>
      </c>
      <c r="E29" t="s">
        <v>40</v>
      </c>
      <c r="F29">
        <v>5</v>
      </c>
      <c r="G29" s="3">
        <v>2050000</v>
      </c>
      <c r="H29" s="4">
        <v>0.05</v>
      </c>
      <c r="I29" s="3">
        <f t="shared" si="0"/>
        <v>9737500</v>
      </c>
      <c r="J29" t="s">
        <v>30</v>
      </c>
      <c r="K29" t="s">
        <v>16</v>
      </c>
    </row>
    <row r="30" spans="1:11" x14ac:dyDescent="0.35">
      <c r="A30" t="s">
        <v>63</v>
      </c>
      <c r="B30" s="2">
        <v>46029</v>
      </c>
      <c r="C30" t="s">
        <v>27</v>
      </c>
      <c r="D30" t="s">
        <v>23</v>
      </c>
      <c r="E30" t="s">
        <v>24</v>
      </c>
      <c r="F30">
        <v>4</v>
      </c>
      <c r="G30" s="3">
        <v>8050000</v>
      </c>
      <c r="H30" s="4">
        <v>0</v>
      </c>
      <c r="I30" s="3">
        <f t="shared" si="0"/>
        <v>32200000</v>
      </c>
      <c r="J30" t="s">
        <v>30</v>
      </c>
      <c r="K30" t="s">
        <v>16</v>
      </c>
    </row>
    <row r="31" spans="1:11" x14ac:dyDescent="0.35">
      <c r="A31" t="s">
        <v>64</v>
      </c>
      <c r="B31" s="2">
        <v>46074</v>
      </c>
      <c r="C31" t="s">
        <v>27</v>
      </c>
      <c r="D31" t="s">
        <v>28</v>
      </c>
      <c r="E31" t="s">
        <v>24</v>
      </c>
      <c r="F31">
        <v>7</v>
      </c>
      <c r="G31" s="3">
        <v>8550000</v>
      </c>
      <c r="H31" s="4">
        <v>0</v>
      </c>
      <c r="I31" s="3">
        <f t="shared" si="0"/>
        <v>59850000</v>
      </c>
      <c r="J31" t="s">
        <v>30</v>
      </c>
      <c r="K31" t="s">
        <v>25</v>
      </c>
    </row>
    <row r="32" spans="1:11" x14ac:dyDescent="0.35">
      <c r="A32" t="s">
        <v>65</v>
      </c>
      <c r="B32" s="2">
        <v>46077</v>
      </c>
      <c r="C32" t="s">
        <v>12</v>
      </c>
      <c r="D32" t="s">
        <v>19</v>
      </c>
      <c r="E32" t="s">
        <v>35</v>
      </c>
      <c r="F32">
        <v>4</v>
      </c>
      <c r="G32" s="3">
        <v>900000</v>
      </c>
      <c r="H32" s="4">
        <v>0</v>
      </c>
      <c r="I32" s="3">
        <f t="shared" si="0"/>
        <v>3600000</v>
      </c>
      <c r="J32" t="s">
        <v>15</v>
      </c>
      <c r="K32" t="s">
        <v>16</v>
      </c>
    </row>
    <row r="33" spans="1:11" x14ac:dyDescent="0.35">
      <c r="A33" t="s">
        <v>66</v>
      </c>
      <c r="B33" s="2">
        <v>46063</v>
      </c>
      <c r="C33" t="s">
        <v>22</v>
      </c>
      <c r="D33" t="s">
        <v>13</v>
      </c>
      <c r="E33" t="s">
        <v>24</v>
      </c>
      <c r="F33">
        <v>8</v>
      </c>
      <c r="G33" s="3">
        <v>7800000</v>
      </c>
      <c r="H33" s="4">
        <v>0.1</v>
      </c>
      <c r="I33" s="3">
        <f t="shared" si="0"/>
        <v>56160000</v>
      </c>
      <c r="J33" t="s">
        <v>20</v>
      </c>
      <c r="K33" t="s">
        <v>16</v>
      </c>
    </row>
    <row r="34" spans="1:11" x14ac:dyDescent="0.35">
      <c r="A34" t="s">
        <v>67</v>
      </c>
      <c r="B34" s="2">
        <v>46046</v>
      </c>
      <c r="C34" t="s">
        <v>12</v>
      </c>
      <c r="D34" t="s">
        <v>23</v>
      </c>
      <c r="E34" t="s">
        <v>14</v>
      </c>
      <c r="F34">
        <v>2</v>
      </c>
      <c r="G34" s="3">
        <v>3700000</v>
      </c>
      <c r="H34" s="4">
        <v>0.15</v>
      </c>
      <c r="I34" s="3">
        <f t="shared" si="0"/>
        <v>6290000</v>
      </c>
      <c r="J34" t="s">
        <v>20</v>
      </c>
      <c r="K34" t="s">
        <v>16</v>
      </c>
    </row>
    <row r="35" spans="1:11" x14ac:dyDescent="0.35">
      <c r="A35" t="s">
        <v>68</v>
      </c>
      <c r="B35" s="2">
        <v>46097</v>
      </c>
      <c r="C35" t="s">
        <v>22</v>
      </c>
      <c r="D35" t="s">
        <v>34</v>
      </c>
      <c r="E35" t="s">
        <v>24</v>
      </c>
      <c r="F35">
        <v>2</v>
      </c>
      <c r="G35" s="3">
        <v>11450000</v>
      </c>
      <c r="H35" s="4">
        <v>0.05</v>
      </c>
      <c r="I35" s="3">
        <f t="shared" si="0"/>
        <v>21755000</v>
      </c>
      <c r="J35" t="s">
        <v>15</v>
      </c>
      <c r="K35" t="s">
        <v>25</v>
      </c>
    </row>
    <row r="36" spans="1:11" x14ac:dyDescent="0.35">
      <c r="A36" t="s">
        <v>69</v>
      </c>
      <c r="B36" s="2">
        <v>46056</v>
      </c>
      <c r="C36" t="s">
        <v>39</v>
      </c>
      <c r="D36" t="s">
        <v>23</v>
      </c>
      <c r="E36" t="s">
        <v>37</v>
      </c>
      <c r="F36">
        <v>6</v>
      </c>
      <c r="G36" s="3">
        <v>650000</v>
      </c>
      <c r="H36" s="4">
        <v>0</v>
      </c>
      <c r="I36" s="3">
        <f t="shared" si="0"/>
        <v>3900000</v>
      </c>
      <c r="J36" t="s">
        <v>20</v>
      </c>
      <c r="K36" t="s">
        <v>25</v>
      </c>
    </row>
    <row r="37" spans="1:11" x14ac:dyDescent="0.35">
      <c r="A37" t="s">
        <v>70</v>
      </c>
      <c r="B37" s="2">
        <v>46081</v>
      </c>
      <c r="C37" t="s">
        <v>22</v>
      </c>
      <c r="D37" t="s">
        <v>34</v>
      </c>
      <c r="E37" t="s">
        <v>32</v>
      </c>
      <c r="F37">
        <v>1</v>
      </c>
      <c r="G37" s="3">
        <v>500000</v>
      </c>
      <c r="H37" s="4">
        <v>0.05</v>
      </c>
      <c r="I37" s="3">
        <f t="shared" si="0"/>
        <v>475000</v>
      </c>
      <c r="J37" t="s">
        <v>20</v>
      </c>
      <c r="K37" t="s">
        <v>16</v>
      </c>
    </row>
    <row r="38" spans="1:11" x14ac:dyDescent="0.35">
      <c r="A38" t="s">
        <v>71</v>
      </c>
      <c r="B38" s="2">
        <v>46091</v>
      </c>
      <c r="C38" t="s">
        <v>39</v>
      </c>
      <c r="D38" t="s">
        <v>19</v>
      </c>
      <c r="E38" t="s">
        <v>37</v>
      </c>
      <c r="F38">
        <v>5</v>
      </c>
      <c r="G38" s="3">
        <v>550000</v>
      </c>
      <c r="H38" s="4">
        <v>0</v>
      </c>
      <c r="I38" s="3">
        <f t="shared" si="0"/>
        <v>2750000</v>
      </c>
      <c r="J38" t="s">
        <v>20</v>
      </c>
      <c r="K38" t="s">
        <v>25</v>
      </c>
    </row>
    <row r="39" spans="1:11" x14ac:dyDescent="0.35">
      <c r="A39" t="s">
        <v>72</v>
      </c>
      <c r="B39" s="2">
        <v>46059</v>
      </c>
      <c r="C39" t="s">
        <v>22</v>
      </c>
      <c r="D39" t="s">
        <v>19</v>
      </c>
      <c r="E39" t="s">
        <v>47</v>
      </c>
      <c r="F39">
        <v>5</v>
      </c>
      <c r="G39" s="3">
        <v>600000</v>
      </c>
      <c r="H39" s="4">
        <v>0.1</v>
      </c>
      <c r="I39" s="3">
        <f t="shared" si="0"/>
        <v>2700000</v>
      </c>
      <c r="J39" t="s">
        <v>15</v>
      </c>
      <c r="K39" t="s">
        <v>25</v>
      </c>
    </row>
    <row r="40" spans="1:11" x14ac:dyDescent="0.35">
      <c r="A40" t="s">
        <v>73</v>
      </c>
      <c r="B40" s="2">
        <v>46107</v>
      </c>
      <c r="C40" t="s">
        <v>18</v>
      </c>
      <c r="D40" t="s">
        <v>49</v>
      </c>
      <c r="E40" t="s">
        <v>14</v>
      </c>
      <c r="F40">
        <v>5</v>
      </c>
      <c r="G40" s="3">
        <v>2200000</v>
      </c>
      <c r="H40" s="4">
        <v>0</v>
      </c>
      <c r="I40" s="3">
        <f t="shared" si="0"/>
        <v>11000000</v>
      </c>
      <c r="J40" t="s">
        <v>15</v>
      </c>
      <c r="K40" t="s">
        <v>16</v>
      </c>
    </row>
    <row r="41" spans="1:11" x14ac:dyDescent="0.35">
      <c r="A41" t="s">
        <v>74</v>
      </c>
      <c r="B41" s="2">
        <v>46057</v>
      </c>
      <c r="C41" t="s">
        <v>39</v>
      </c>
      <c r="D41" t="s">
        <v>34</v>
      </c>
      <c r="E41" t="s">
        <v>29</v>
      </c>
      <c r="F41">
        <v>6</v>
      </c>
      <c r="G41" s="3">
        <v>600000</v>
      </c>
      <c r="H41" s="4">
        <v>0</v>
      </c>
      <c r="I41" s="3">
        <f t="shared" si="0"/>
        <v>3600000</v>
      </c>
      <c r="J41" t="s">
        <v>30</v>
      </c>
      <c r="K41" t="s">
        <v>25</v>
      </c>
    </row>
    <row r="42" spans="1:11" x14ac:dyDescent="0.35">
      <c r="A42" t="s">
        <v>75</v>
      </c>
      <c r="B42" s="2">
        <v>46029</v>
      </c>
      <c r="C42" t="s">
        <v>18</v>
      </c>
      <c r="D42" t="s">
        <v>19</v>
      </c>
      <c r="E42" t="s">
        <v>14</v>
      </c>
      <c r="F42">
        <v>7</v>
      </c>
      <c r="G42" s="3">
        <v>3800000</v>
      </c>
      <c r="H42" s="4">
        <v>0</v>
      </c>
      <c r="I42" s="3">
        <f t="shared" si="0"/>
        <v>26600000</v>
      </c>
      <c r="J42" t="s">
        <v>30</v>
      </c>
      <c r="K42" t="s">
        <v>16</v>
      </c>
    </row>
    <row r="43" spans="1:11" x14ac:dyDescent="0.35">
      <c r="A43" t="s">
        <v>76</v>
      </c>
      <c r="B43" s="2">
        <v>46104</v>
      </c>
      <c r="C43" t="s">
        <v>27</v>
      </c>
      <c r="D43" t="s">
        <v>34</v>
      </c>
      <c r="E43" t="s">
        <v>29</v>
      </c>
      <c r="F43">
        <v>8</v>
      </c>
      <c r="G43" s="3">
        <v>550000</v>
      </c>
      <c r="H43" s="4">
        <v>0.1</v>
      </c>
      <c r="I43" s="3">
        <f t="shared" si="0"/>
        <v>3960000</v>
      </c>
      <c r="J43" t="s">
        <v>20</v>
      </c>
      <c r="K43" t="s">
        <v>16</v>
      </c>
    </row>
    <row r="44" spans="1:11" x14ac:dyDescent="0.35">
      <c r="A44" t="s">
        <v>77</v>
      </c>
      <c r="B44" s="2">
        <v>46032</v>
      </c>
      <c r="C44" t="s">
        <v>22</v>
      </c>
      <c r="D44" t="s">
        <v>34</v>
      </c>
      <c r="E44" t="s">
        <v>47</v>
      </c>
      <c r="F44">
        <v>1</v>
      </c>
      <c r="G44" s="3">
        <v>650000</v>
      </c>
      <c r="H44" s="4">
        <v>0</v>
      </c>
      <c r="I44" s="3">
        <f t="shared" si="0"/>
        <v>650000</v>
      </c>
      <c r="J44" t="s">
        <v>20</v>
      </c>
      <c r="K44" t="s">
        <v>25</v>
      </c>
    </row>
    <row r="45" spans="1:11" x14ac:dyDescent="0.35">
      <c r="A45" t="s">
        <v>78</v>
      </c>
      <c r="B45" s="2">
        <v>46039</v>
      </c>
      <c r="C45" t="s">
        <v>39</v>
      </c>
      <c r="D45" t="s">
        <v>13</v>
      </c>
      <c r="E45" t="s">
        <v>24</v>
      </c>
      <c r="F45">
        <v>6</v>
      </c>
      <c r="G45" s="3">
        <v>9450000</v>
      </c>
      <c r="H45" s="4">
        <v>0</v>
      </c>
      <c r="I45" s="3">
        <f t="shared" si="0"/>
        <v>56700000</v>
      </c>
      <c r="J45" t="s">
        <v>15</v>
      </c>
      <c r="K45" t="s">
        <v>16</v>
      </c>
    </row>
    <row r="46" spans="1:11" x14ac:dyDescent="0.35">
      <c r="A46" t="s">
        <v>79</v>
      </c>
      <c r="B46" s="2">
        <v>46108</v>
      </c>
      <c r="C46" t="s">
        <v>12</v>
      </c>
      <c r="D46" t="s">
        <v>13</v>
      </c>
      <c r="E46" t="s">
        <v>14</v>
      </c>
      <c r="F46">
        <v>7</v>
      </c>
      <c r="G46" s="3">
        <v>2900000</v>
      </c>
      <c r="H46" s="4">
        <v>0.1</v>
      </c>
      <c r="I46" s="3">
        <f t="shared" si="0"/>
        <v>18270000</v>
      </c>
      <c r="J46" t="s">
        <v>20</v>
      </c>
      <c r="K46" t="s">
        <v>16</v>
      </c>
    </row>
    <row r="47" spans="1:11" x14ac:dyDescent="0.35">
      <c r="A47" t="s">
        <v>80</v>
      </c>
      <c r="B47" s="2">
        <v>46075</v>
      </c>
      <c r="C47" t="s">
        <v>12</v>
      </c>
      <c r="D47" t="s">
        <v>28</v>
      </c>
      <c r="E47" t="s">
        <v>24</v>
      </c>
      <c r="F47">
        <v>6</v>
      </c>
      <c r="G47" s="3">
        <v>8600000</v>
      </c>
      <c r="H47" s="4">
        <v>0.05</v>
      </c>
      <c r="I47" s="3">
        <f t="shared" si="0"/>
        <v>49020000</v>
      </c>
      <c r="J47" t="s">
        <v>20</v>
      </c>
      <c r="K47" t="s">
        <v>16</v>
      </c>
    </row>
    <row r="48" spans="1:11" x14ac:dyDescent="0.35">
      <c r="A48" t="s">
        <v>81</v>
      </c>
      <c r="B48" s="2">
        <v>46071</v>
      </c>
      <c r="C48" t="s">
        <v>27</v>
      </c>
      <c r="D48" t="s">
        <v>28</v>
      </c>
      <c r="E48" t="s">
        <v>24</v>
      </c>
      <c r="F48">
        <v>4</v>
      </c>
      <c r="G48" s="3">
        <v>10500000</v>
      </c>
      <c r="H48" s="4">
        <v>0</v>
      </c>
      <c r="I48" s="3">
        <f t="shared" si="0"/>
        <v>42000000</v>
      </c>
      <c r="J48" t="s">
        <v>30</v>
      </c>
      <c r="K48" t="s">
        <v>16</v>
      </c>
    </row>
    <row r="49" spans="1:11" x14ac:dyDescent="0.35">
      <c r="A49" t="s">
        <v>82</v>
      </c>
      <c r="B49" s="2">
        <v>46051</v>
      </c>
      <c r="C49" t="s">
        <v>39</v>
      </c>
      <c r="D49" t="s">
        <v>28</v>
      </c>
      <c r="E49" t="s">
        <v>24</v>
      </c>
      <c r="F49">
        <v>4</v>
      </c>
      <c r="G49" s="3">
        <v>11700000</v>
      </c>
      <c r="H49" s="4">
        <v>0.05</v>
      </c>
      <c r="I49" s="3">
        <f t="shared" si="0"/>
        <v>44460000</v>
      </c>
      <c r="J49" t="s">
        <v>20</v>
      </c>
      <c r="K49" t="s">
        <v>25</v>
      </c>
    </row>
    <row r="50" spans="1:11" x14ac:dyDescent="0.35">
      <c r="A50" t="s">
        <v>83</v>
      </c>
      <c r="B50" s="2">
        <v>46067</v>
      </c>
      <c r="C50" t="s">
        <v>18</v>
      </c>
      <c r="D50" t="s">
        <v>28</v>
      </c>
      <c r="E50" t="s">
        <v>40</v>
      </c>
      <c r="F50">
        <v>6</v>
      </c>
      <c r="G50" s="3">
        <v>3650000</v>
      </c>
      <c r="H50" s="4">
        <v>0</v>
      </c>
      <c r="I50" s="3">
        <f t="shared" si="0"/>
        <v>21900000</v>
      </c>
      <c r="J50" t="s">
        <v>20</v>
      </c>
      <c r="K50" t="s">
        <v>25</v>
      </c>
    </row>
    <row r="51" spans="1:11" x14ac:dyDescent="0.35">
      <c r="A51" t="s">
        <v>84</v>
      </c>
      <c r="B51" s="2">
        <v>46027</v>
      </c>
      <c r="C51" t="s">
        <v>39</v>
      </c>
      <c r="D51" t="s">
        <v>23</v>
      </c>
      <c r="E51" t="s">
        <v>14</v>
      </c>
      <c r="F51">
        <v>7</v>
      </c>
      <c r="G51" s="3">
        <v>3700000</v>
      </c>
      <c r="H51" s="4">
        <v>0</v>
      </c>
      <c r="I51" s="3">
        <f t="shared" si="0"/>
        <v>25900000</v>
      </c>
      <c r="J51" t="s">
        <v>15</v>
      </c>
      <c r="K51" t="s">
        <v>16</v>
      </c>
    </row>
    <row r="52" spans="1:11" x14ac:dyDescent="0.35">
      <c r="A52" t="s">
        <v>85</v>
      </c>
      <c r="B52" s="2">
        <v>46072</v>
      </c>
      <c r="C52" t="s">
        <v>27</v>
      </c>
      <c r="D52" t="s">
        <v>19</v>
      </c>
      <c r="E52" t="s">
        <v>37</v>
      </c>
      <c r="F52">
        <v>1</v>
      </c>
      <c r="G52" s="3">
        <v>350000</v>
      </c>
      <c r="H52" s="4">
        <v>0.15</v>
      </c>
      <c r="I52" s="3">
        <f t="shared" si="0"/>
        <v>297500</v>
      </c>
      <c r="J52" t="s">
        <v>15</v>
      </c>
      <c r="K52" t="s">
        <v>16</v>
      </c>
    </row>
    <row r="53" spans="1:11" x14ac:dyDescent="0.35">
      <c r="A53" t="s">
        <v>86</v>
      </c>
      <c r="B53" s="2">
        <v>46069</v>
      </c>
      <c r="C53" t="s">
        <v>39</v>
      </c>
      <c r="D53" t="s">
        <v>49</v>
      </c>
      <c r="E53" t="s">
        <v>40</v>
      </c>
      <c r="F53">
        <v>6</v>
      </c>
      <c r="G53" s="3">
        <v>1700000</v>
      </c>
      <c r="H53" s="4">
        <v>0.1</v>
      </c>
      <c r="I53" s="3">
        <f t="shared" si="0"/>
        <v>9180000</v>
      </c>
      <c r="J53" t="s">
        <v>20</v>
      </c>
      <c r="K53" t="s">
        <v>25</v>
      </c>
    </row>
    <row r="54" spans="1:11" x14ac:dyDescent="0.35">
      <c r="A54" t="s">
        <v>87</v>
      </c>
      <c r="B54" s="2">
        <v>46087</v>
      </c>
      <c r="C54" t="s">
        <v>39</v>
      </c>
      <c r="D54" t="s">
        <v>34</v>
      </c>
      <c r="E54" t="s">
        <v>29</v>
      </c>
      <c r="F54">
        <v>6</v>
      </c>
      <c r="G54" s="3">
        <v>950000</v>
      </c>
      <c r="H54" s="4">
        <v>0.05</v>
      </c>
      <c r="I54" s="3">
        <f t="shared" si="0"/>
        <v>5415000</v>
      </c>
      <c r="J54" t="s">
        <v>20</v>
      </c>
      <c r="K54" t="s">
        <v>16</v>
      </c>
    </row>
    <row r="55" spans="1:11" x14ac:dyDescent="0.35">
      <c r="A55" t="s">
        <v>88</v>
      </c>
      <c r="B55" s="2">
        <v>46076</v>
      </c>
      <c r="C55" t="s">
        <v>22</v>
      </c>
      <c r="D55" t="s">
        <v>28</v>
      </c>
      <c r="E55" t="s">
        <v>40</v>
      </c>
      <c r="F55">
        <v>3</v>
      </c>
      <c r="G55" s="3">
        <v>3650000</v>
      </c>
      <c r="H55" s="4">
        <v>0.1</v>
      </c>
      <c r="I55" s="3">
        <f t="shared" si="0"/>
        <v>9855000</v>
      </c>
      <c r="J55" t="s">
        <v>30</v>
      </c>
      <c r="K55" t="s">
        <v>16</v>
      </c>
    </row>
    <row r="56" spans="1:11" x14ac:dyDescent="0.35">
      <c r="A56" t="s">
        <v>89</v>
      </c>
      <c r="B56" s="2">
        <v>46061</v>
      </c>
      <c r="C56" t="s">
        <v>22</v>
      </c>
      <c r="D56" t="s">
        <v>49</v>
      </c>
      <c r="E56" t="s">
        <v>29</v>
      </c>
      <c r="F56">
        <v>7</v>
      </c>
      <c r="G56" s="3">
        <v>600000</v>
      </c>
      <c r="H56" s="4">
        <v>0.1</v>
      </c>
      <c r="I56" s="3">
        <f t="shared" si="0"/>
        <v>3780000</v>
      </c>
      <c r="J56" t="s">
        <v>30</v>
      </c>
      <c r="K56" t="s">
        <v>25</v>
      </c>
    </row>
    <row r="57" spans="1:11" x14ac:dyDescent="0.35">
      <c r="A57" t="s">
        <v>90</v>
      </c>
      <c r="B57" s="2">
        <v>46079</v>
      </c>
      <c r="C57" t="s">
        <v>27</v>
      </c>
      <c r="D57" t="s">
        <v>49</v>
      </c>
      <c r="E57" t="s">
        <v>35</v>
      </c>
      <c r="F57">
        <v>4</v>
      </c>
      <c r="G57" s="3">
        <v>1750000</v>
      </c>
      <c r="H57" s="4">
        <v>0.1</v>
      </c>
      <c r="I57" s="3">
        <f t="shared" si="0"/>
        <v>6300000</v>
      </c>
      <c r="J57" t="s">
        <v>20</v>
      </c>
      <c r="K57" t="s">
        <v>16</v>
      </c>
    </row>
    <row r="58" spans="1:11" x14ac:dyDescent="0.35">
      <c r="A58" t="s">
        <v>91</v>
      </c>
      <c r="B58" s="2">
        <v>46059</v>
      </c>
      <c r="C58" t="s">
        <v>39</v>
      </c>
      <c r="D58" t="s">
        <v>13</v>
      </c>
      <c r="E58" t="s">
        <v>32</v>
      </c>
      <c r="F58">
        <v>4</v>
      </c>
      <c r="G58" s="3">
        <v>500000</v>
      </c>
      <c r="H58" s="4">
        <v>0.15</v>
      </c>
      <c r="I58" s="3">
        <f t="shared" si="0"/>
        <v>1700000</v>
      </c>
      <c r="J58" t="s">
        <v>20</v>
      </c>
      <c r="K58" t="s">
        <v>16</v>
      </c>
    </row>
    <row r="59" spans="1:11" x14ac:dyDescent="0.35">
      <c r="A59" t="s">
        <v>92</v>
      </c>
      <c r="B59" s="2">
        <v>46026</v>
      </c>
      <c r="C59" t="s">
        <v>18</v>
      </c>
      <c r="D59" t="s">
        <v>23</v>
      </c>
      <c r="E59" t="s">
        <v>24</v>
      </c>
      <c r="F59">
        <v>8</v>
      </c>
      <c r="G59" s="3">
        <v>9050000</v>
      </c>
      <c r="H59" s="4">
        <v>0.1</v>
      </c>
      <c r="I59" s="3">
        <f t="shared" si="0"/>
        <v>65160000</v>
      </c>
      <c r="J59" t="s">
        <v>30</v>
      </c>
      <c r="K59" t="s">
        <v>16</v>
      </c>
    </row>
    <row r="60" spans="1:11" x14ac:dyDescent="0.35">
      <c r="A60" t="s">
        <v>93</v>
      </c>
      <c r="B60" s="2">
        <v>46112</v>
      </c>
      <c r="C60" t="s">
        <v>12</v>
      </c>
      <c r="D60" t="s">
        <v>49</v>
      </c>
      <c r="E60" t="s">
        <v>40</v>
      </c>
      <c r="F60">
        <v>7</v>
      </c>
      <c r="G60" s="3">
        <v>3050000</v>
      </c>
      <c r="H60" s="4">
        <v>0</v>
      </c>
      <c r="I60" s="3">
        <f t="shared" si="0"/>
        <v>21350000</v>
      </c>
      <c r="J60" t="s">
        <v>15</v>
      </c>
      <c r="K60" t="s">
        <v>16</v>
      </c>
    </row>
    <row r="61" spans="1:11" x14ac:dyDescent="0.35">
      <c r="A61" t="s">
        <v>94</v>
      </c>
      <c r="B61" s="2">
        <v>46036</v>
      </c>
      <c r="C61" t="s">
        <v>22</v>
      </c>
      <c r="D61" t="s">
        <v>23</v>
      </c>
      <c r="E61" t="s">
        <v>40</v>
      </c>
      <c r="F61">
        <v>3</v>
      </c>
      <c r="G61" s="3">
        <v>2200000</v>
      </c>
      <c r="H61" s="4">
        <v>0.15</v>
      </c>
      <c r="I61" s="3">
        <f t="shared" si="0"/>
        <v>5610000</v>
      </c>
      <c r="J61" t="s">
        <v>20</v>
      </c>
      <c r="K61" t="s">
        <v>16</v>
      </c>
    </row>
    <row r="62" spans="1:11" x14ac:dyDescent="0.35">
      <c r="A62" t="s">
        <v>95</v>
      </c>
      <c r="B62" s="2">
        <v>46038</v>
      </c>
      <c r="C62" t="s">
        <v>22</v>
      </c>
      <c r="D62" t="s">
        <v>34</v>
      </c>
      <c r="E62" t="s">
        <v>35</v>
      </c>
      <c r="F62">
        <v>8</v>
      </c>
      <c r="G62" s="3">
        <v>900000</v>
      </c>
      <c r="H62" s="4">
        <v>0.15</v>
      </c>
      <c r="I62" s="3">
        <f t="shared" si="0"/>
        <v>6120000</v>
      </c>
      <c r="J62" t="s">
        <v>15</v>
      </c>
      <c r="K62" t="s">
        <v>25</v>
      </c>
    </row>
    <row r="63" spans="1:11" x14ac:dyDescent="0.35">
      <c r="A63" t="s">
        <v>96</v>
      </c>
      <c r="B63" s="2">
        <v>46079</v>
      </c>
      <c r="C63" t="s">
        <v>27</v>
      </c>
      <c r="D63" t="s">
        <v>23</v>
      </c>
      <c r="E63" t="s">
        <v>40</v>
      </c>
      <c r="F63">
        <v>8</v>
      </c>
      <c r="G63" s="3">
        <v>3250000</v>
      </c>
      <c r="H63" s="4">
        <v>0</v>
      </c>
      <c r="I63" s="3">
        <f t="shared" si="0"/>
        <v>26000000</v>
      </c>
      <c r="J63" t="s">
        <v>30</v>
      </c>
      <c r="K63" t="s">
        <v>16</v>
      </c>
    </row>
    <row r="64" spans="1:11" x14ac:dyDescent="0.35">
      <c r="A64" t="s">
        <v>97</v>
      </c>
      <c r="B64" s="2">
        <v>46104</v>
      </c>
      <c r="C64" t="s">
        <v>12</v>
      </c>
      <c r="D64" t="s">
        <v>28</v>
      </c>
      <c r="E64" t="s">
        <v>29</v>
      </c>
      <c r="F64">
        <v>8</v>
      </c>
      <c r="G64" s="3">
        <v>1100000</v>
      </c>
      <c r="H64" s="4">
        <v>0.15</v>
      </c>
      <c r="I64" s="3">
        <f t="shared" si="0"/>
        <v>7480000</v>
      </c>
      <c r="J64" t="s">
        <v>30</v>
      </c>
      <c r="K64" t="s">
        <v>16</v>
      </c>
    </row>
    <row r="65" spans="1:11" x14ac:dyDescent="0.35">
      <c r="A65" t="s">
        <v>98</v>
      </c>
      <c r="B65" s="2">
        <v>46059</v>
      </c>
      <c r="C65" t="s">
        <v>22</v>
      </c>
      <c r="D65" t="s">
        <v>19</v>
      </c>
      <c r="E65" t="s">
        <v>37</v>
      </c>
      <c r="F65">
        <v>6</v>
      </c>
      <c r="G65" s="3">
        <v>350000</v>
      </c>
      <c r="H65" s="4">
        <v>0</v>
      </c>
      <c r="I65" s="3">
        <f t="shared" si="0"/>
        <v>2100000</v>
      </c>
      <c r="J65" t="s">
        <v>20</v>
      </c>
      <c r="K65" t="s">
        <v>16</v>
      </c>
    </row>
    <row r="66" spans="1:11" x14ac:dyDescent="0.35">
      <c r="A66" t="s">
        <v>99</v>
      </c>
      <c r="B66" s="2">
        <v>46052</v>
      </c>
      <c r="C66" t="s">
        <v>12</v>
      </c>
      <c r="D66" t="s">
        <v>19</v>
      </c>
      <c r="E66" t="s">
        <v>40</v>
      </c>
      <c r="F66">
        <v>3</v>
      </c>
      <c r="G66" s="3">
        <v>3700000</v>
      </c>
      <c r="H66" s="4">
        <v>0.15</v>
      </c>
      <c r="I66" s="3">
        <f t="shared" si="0"/>
        <v>9435000</v>
      </c>
      <c r="J66" t="s">
        <v>30</v>
      </c>
      <c r="K66" t="s">
        <v>25</v>
      </c>
    </row>
    <row r="67" spans="1:11" x14ac:dyDescent="0.35">
      <c r="A67" t="s">
        <v>100</v>
      </c>
      <c r="B67" s="2">
        <v>46065</v>
      </c>
      <c r="C67" t="s">
        <v>27</v>
      </c>
      <c r="D67" t="s">
        <v>23</v>
      </c>
      <c r="E67" t="s">
        <v>35</v>
      </c>
      <c r="F67">
        <v>1</v>
      </c>
      <c r="G67" s="3">
        <v>1350000</v>
      </c>
      <c r="H67" s="4">
        <v>0</v>
      </c>
      <c r="I67" s="3">
        <f t="shared" ref="I67:I101" si="1">F67*G67*(1-H67)</f>
        <v>1350000</v>
      </c>
      <c r="J67" t="s">
        <v>15</v>
      </c>
      <c r="K67" t="s">
        <v>16</v>
      </c>
    </row>
    <row r="68" spans="1:11" x14ac:dyDescent="0.35">
      <c r="A68" t="s">
        <v>101</v>
      </c>
      <c r="B68" s="2">
        <v>46096</v>
      </c>
      <c r="C68" t="s">
        <v>39</v>
      </c>
      <c r="D68" t="s">
        <v>23</v>
      </c>
      <c r="E68" t="s">
        <v>40</v>
      </c>
      <c r="F68">
        <v>1</v>
      </c>
      <c r="G68" s="3">
        <v>3000000</v>
      </c>
      <c r="H68" s="4">
        <v>0</v>
      </c>
      <c r="I68" s="3">
        <f t="shared" si="1"/>
        <v>3000000</v>
      </c>
      <c r="J68" t="s">
        <v>30</v>
      </c>
      <c r="K68" t="s">
        <v>16</v>
      </c>
    </row>
    <row r="69" spans="1:11" x14ac:dyDescent="0.35">
      <c r="A69" t="s">
        <v>102</v>
      </c>
      <c r="B69" s="2">
        <v>46085</v>
      </c>
      <c r="C69" t="s">
        <v>18</v>
      </c>
      <c r="D69" t="s">
        <v>23</v>
      </c>
      <c r="E69" t="s">
        <v>37</v>
      </c>
      <c r="F69">
        <v>7</v>
      </c>
      <c r="G69" s="3">
        <v>350000</v>
      </c>
      <c r="H69" s="4">
        <v>0.05</v>
      </c>
      <c r="I69" s="3">
        <f t="shared" si="1"/>
        <v>2327500</v>
      </c>
      <c r="J69" t="s">
        <v>30</v>
      </c>
      <c r="K69" t="s">
        <v>25</v>
      </c>
    </row>
    <row r="70" spans="1:11" x14ac:dyDescent="0.35">
      <c r="A70" t="s">
        <v>103</v>
      </c>
      <c r="B70" s="2">
        <v>46044</v>
      </c>
      <c r="C70" t="s">
        <v>22</v>
      </c>
      <c r="D70" t="s">
        <v>19</v>
      </c>
      <c r="E70" t="s">
        <v>35</v>
      </c>
      <c r="F70">
        <v>3</v>
      </c>
      <c r="G70" s="3">
        <v>2150000</v>
      </c>
      <c r="H70" s="4">
        <v>0.1</v>
      </c>
      <c r="I70" s="3">
        <f t="shared" si="1"/>
        <v>5805000</v>
      </c>
      <c r="J70" t="s">
        <v>30</v>
      </c>
      <c r="K70" t="s">
        <v>16</v>
      </c>
    </row>
    <row r="71" spans="1:11" x14ac:dyDescent="0.35">
      <c r="A71" t="s">
        <v>104</v>
      </c>
      <c r="B71" s="2">
        <v>46033</v>
      </c>
      <c r="C71" t="s">
        <v>18</v>
      </c>
      <c r="D71" t="s">
        <v>28</v>
      </c>
      <c r="E71" t="s">
        <v>40</v>
      </c>
      <c r="F71">
        <v>8</v>
      </c>
      <c r="G71" s="3">
        <v>1900000</v>
      </c>
      <c r="H71" s="4">
        <v>0</v>
      </c>
      <c r="I71" s="3">
        <f t="shared" si="1"/>
        <v>15200000</v>
      </c>
      <c r="J71" t="s">
        <v>30</v>
      </c>
      <c r="K71" t="s">
        <v>25</v>
      </c>
    </row>
    <row r="72" spans="1:11" x14ac:dyDescent="0.35">
      <c r="A72" t="s">
        <v>105</v>
      </c>
      <c r="B72" s="2">
        <v>46050</v>
      </c>
      <c r="C72" t="s">
        <v>39</v>
      </c>
      <c r="D72" t="s">
        <v>23</v>
      </c>
      <c r="E72" t="s">
        <v>35</v>
      </c>
      <c r="F72">
        <v>6</v>
      </c>
      <c r="G72" s="3">
        <v>1200000</v>
      </c>
      <c r="H72" s="4">
        <v>0.05</v>
      </c>
      <c r="I72" s="3">
        <f t="shared" si="1"/>
        <v>6840000</v>
      </c>
      <c r="J72" t="s">
        <v>30</v>
      </c>
      <c r="K72" t="s">
        <v>16</v>
      </c>
    </row>
    <row r="73" spans="1:11" x14ac:dyDescent="0.35">
      <c r="A73" t="s">
        <v>106</v>
      </c>
      <c r="B73" s="2">
        <v>46083</v>
      </c>
      <c r="C73" t="s">
        <v>12</v>
      </c>
      <c r="D73" t="s">
        <v>49</v>
      </c>
      <c r="E73" t="s">
        <v>24</v>
      </c>
      <c r="F73">
        <v>1</v>
      </c>
      <c r="G73" s="3">
        <v>10950000</v>
      </c>
      <c r="H73" s="4">
        <v>0</v>
      </c>
      <c r="I73" s="3">
        <f t="shared" si="1"/>
        <v>10950000</v>
      </c>
      <c r="J73" t="s">
        <v>20</v>
      </c>
      <c r="K73" t="s">
        <v>16</v>
      </c>
    </row>
    <row r="74" spans="1:11" x14ac:dyDescent="0.35">
      <c r="A74" t="s">
        <v>107</v>
      </c>
      <c r="B74" s="2">
        <v>46026</v>
      </c>
      <c r="C74" t="s">
        <v>12</v>
      </c>
      <c r="D74" t="s">
        <v>13</v>
      </c>
      <c r="E74" t="s">
        <v>37</v>
      </c>
      <c r="F74">
        <v>1</v>
      </c>
      <c r="G74" s="3">
        <v>300000</v>
      </c>
      <c r="H74" s="4">
        <v>0.1</v>
      </c>
      <c r="I74" s="3">
        <f t="shared" si="1"/>
        <v>270000</v>
      </c>
      <c r="J74" t="s">
        <v>20</v>
      </c>
      <c r="K74" t="s">
        <v>25</v>
      </c>
    </row>
    <row r="75" spans="1:11" x14ac:dyDescent="0.35">
      <c r="A75" t="s">
        <v>108</v>
      </c>
      <c r="B75" s="2">
        <v>46108</v>
      </c>
      <c r="C75" t="s">
        <v>39</v>
      </c>
      <c r="D75" t="s">
        <v>28</v>
      </c>
      <c r="E75" t="s">
        <v>14</v>
      </c>
      <c r="F75">
        <v>4</v>
      </c>
      <c r="G75" s="3">
        <v>3600000</v>
      </c>
      <c r="H75" s="4">
        <v>0.05</v>
      </c>
      <c r="I75" s="3">
        <f t="shared" si="1"/>
        <v>13680000</v>
      </c>
      <c r="J75" t="s">
        <v>20</v>
      </c>
      <c r="K75" t="s">
        <v>16</v>
      </c>
    </row>
    <row r="76" spans="1:11" x14ac:dyDescent="0.35">
      <c r="A76" t="s">
        <v>109</v>
      </c>
      <c r="B76" s="2">
        <v>46043</v>
      </c>
      <c r="C76" t="s">
        <v>22</v>
      </c>
      <c r="D76" t="s">
        <v>49</v>
      </c>
      <c r="E76" t="s">
        <v>29</v>
      </c>
      <c r="F76">
        <v>1</v>
      </c>
      <c r="G76" s="3">
        <v>450000</v>
      </c>
      <c r="H76" s="4">
        <v>0</v>
      </c>
      <c r="I76" s="3">
        <f t="shared" si="1"/>
        <v>450000</v>
      </c>
      <c r="J76" t="s">
        <v>30</v>
      </c>
      <c r="K76" t="s">
        <v>25</v>
      </c>
    </row>
    <row r="77" spans="1:11" x14ac:dyDescent="0.35">
      <c r="A77" t="s">
        <v>110</v>
      </c>
      <c r="B77" s="2">
        <v>46048</v>
      </c>
      <c r="C77" t="s">
        <v>39</v>
      </c>
      <c r="D77" t="s">
        <v>49</v>
      </c>
      <c r="E77" t="s">
        <v>14</v>
      </c>
      <c r="F77">
        <v>4</v>
      </c>
      <c r="G77" s="3">
        <v>3650000</v>
      </c>
      <c r="H77" s="4">
        <v>0</v>
      </c>
      <c r="I77" s="3">
        <f t="shared" si="1"/>
        <v>14600000</v>
      </c>
      <c r="J77" t="s">
        <v>15</v>
      </c>
      <c r="K77" t="s">
        <v>16</v>
      </c>
    </row>
    <row r="78" spans="1:11" x14ac:dyDescent="0.35">
      <c r="A78" t="s">
        <v>111</v>
      </c>
      <c r="B78" s="2">
        <v>46095</v>
      </c>
      <c r="C78" t="s">
        <v>39</v>
      </c>
      <c r="D78" t="s">
        <v>19</v>
      </c>
      <c r="E78" t="s">
        <v>24</v>
      </c>
      <c r="F78">
        <v>7</v>
      </c>
      <c r="G78" s="3">
        <v>9700000</v>
      </c>
      <c r="H78" s="4">
        <v>0.15</v>
      </c>
      <c r="I78" s="3">
        <f t="shared" si="1"/>
        <v>57715000</v>
      </c>
      <c r="J78" t="s">
        <v>15</v>
      </c>
      <c r="K78" t="s">
        <v>25</v>
      </c>
    </row>
    <row r="79" spans="1:11" x14ac:dyDescent="0.35">
      <c r="A79" t="s">
        <v>112</v>
      </c>
      <c r="B79" s="2">
        <v>46024</v>
      </c>
      <c r="C79" t="s">
        <v>39</v>
      </c>
      <c r="D79" t="s">
        <v>49</v>
      </c>
      <c r="E79" t="s">
        <v>40</v>
      </c>
      <c r="F79">
        <v>2</v>
      </c>
      <c r="G79" s="3">
        <v>3050000</v>
      </c>
      <c r="H79" s="4">
        <v>0.05</v>
      </c>
      <c r="I79" s="3">
        <f t="shared" si="1"/>
        <v>5795000</v>
      </c>
      <c r="J79" t="s">
        <v>30</v>
      </c>
      <c r="K79" t="s">
        <v>16</v>
      </c>
    </row>
    <row r="80" spans="1:11" x14ac:dyDescent="0.35">
      <c r="A80" t="s">
        <v>113</v>
      </c>
      <c r="B80" s="2">
        <v>46078</v>
      </c>
      <c r="C80" t="s">
        <v>22</v>
      </c>
      <c r="D80" t="s">
        <v>23</v>
      </c>
      <c r="E80" t="s">
        <v>47</v>
      </c>
      <c r="F80">
        <v>5</v>
      </c>
      <c r="G80" s="3">
        <v>800000</v>
      </c>
      <c r="H80" s="4">
        <v>0.1</v>
      </c>
      <c r="I80" s="3">
        <f t="shared" si="1"/>
        <v>3600000</v>
      </c>
      <c r="J80" t="s">
        <v>30</v>
      </c>
      <c r="K80" t="s">
        <v>25</v>
      </c>
    </row>
    <row r="81" spans="1:11" x14ac:dyDescent="0.35">
      <c r="A81" t="s">
        <v>114</v>
      </c>
      <c r="B81" s="2">
        <v>46098</v>
      </c>
      <c r="C81" t="s">
        <v>39</v>
      </c>
      <c r="D81" t="s">
        <v>23</v>
      </c>
      <c r="E81" t="s">
        <v>29</v>
      </c>
      <c r="F81">
        <v>4</v>
      </c>
      <c r="G81" s="3">
        <v>800000</v>
      </c>
      <c r="H81" s="4">
        <v>0</v>
      </c>
      <c r="I81" s="3">
        <f t="shared" si="1"/>
        <v>3200000</v>
      </c>
      <c r="J81" t="s">
        <v>20</v>
      </c>
      <c r="K81" t="s">
        <v>25</v>
      </c>
    </row>
    <row r="82" spans="1:11" x14ac:dyDescent="0.35">
      <c r="A82" t="s">
        <v>115</v>
      </c>
      <c r="B82" s="2">
        <v>46095</v>
      </c>
      <c r="C82" t="s">
        <v>39</v>
      </c>
      <c r="D82" t="s">
        <v>13</v>
      </c>
      <c r="E82" t="s">
        <v>40</v>
      </c>
      <c r="F82">
        <v>1</v>
      </c>
      <c r="G82" s="3">
        <v>2550000</v>
      </c>
      <c r="H82" s="4">
        <v>0.05</v>
      </c>
      <c r="I82" s="3">
        <f t="shared" si="1"/>
        <v>2422500</v>
      </c>
      <c r="J82" t="s">
        <v>30</v>
      </c>
      <c r="K82" t="s">
        <v>16</v>
      </c>
    </row>
    <row r="83" spans="1:11" x14ac:dyDescent="0.35">
      <c r="A83" t="s">
        <v>116</v>
      </c>
      <c r="B83" s="2">
        <v>46068</v>
      </c>
      <c r="C83" t="s">
        <v>39</v>
      </c>
      <c r="D83" t="s">
        <v>34</v>
      </c>
      <c r="E83" t="s">
        <v>29</v>
      </c>
      <c r="F83">
        <v>5</v>
      </c>
      <c r="G83" s="3">
        <v>800000</v>
      </c>
      <c r="H83" s="4">
        <v>0.1</v>
      </c>
      <c r="I83" s="3">
        <f t="shared" si="1"/>
        <v>3600000</v>
      </c>
      <c r="J83" t="s">
        <v>20</v>
      </c>
      <c r="K83" t="s">
        <v>16</v>
      </c>
    </row>
    <row r="84" spans="1:11" x14ac:dyDescent="0.35">
      <c r="A84" t="s">
        <v>117</v>
      </c>
      <c r="B84" s="2">
        <v>46033</v>
      </c>
      <c r="C84" t="s">
        <v>22</v>
      </c>
      <c r="D84" t="s">
        <v>13</v>
      </c>
      <c r="E84" t="s">
        <v>37</v>
      </c>
      <c r="F84">
        <v>7</v>
      </c>
      <c r="G84" s="3">
        <v>700000</v>
      </c>
      <c r="H84" s="4">
        <v>0.05</v>
      </c>
      <c r="I84" s="3">
        <f t="shared" si="1"/>
        <v>4655000</v>
      </c>
      <c r="J84" t="s">
        <v>15</v>
      </c>
      <c r="K84" t="s">
        <v>25</v>
      </c>
    </row>
    <row r="85" spans="1:11" x14ac:dyDescent="0.35">
      <c r="A85" t="s">
        <v>118</v>
      </c>
      <c r="B85" s="2">
        <v>46105</v>
      </c>
      <c r="C85" t="s">
        <v>39</v>
      </c>
      <c r="D85" t="s">
        <v>13</v>
      </c>
      <c r="E85" t="s">
        <v>35</v>
      </c>
      <c r="F85">
        <v>1</v>
      </c>
      <c r="G85" s="3">
        <v>1400000</v>
      </c>
      <c r="H85" s="4">
        <v>0</v>
      </c>
      <c r="I85" s="3">
        <f t="shared" si="1"/>
        <v>1400000</v>
      </c>
      <c r="J85" t="s">
        <v>30</v>
      </c>
      <c r="K85" t="s">
        <v>16</v>
      </c>
    </row>
    <row r="86" spans="1:11" x14ac:dyDescent="0.35">
      <c r="A86" t="s">
        <v>119</v>
      </c>
      <c r="B86" s="2">
        <v>46062</v>
      </c>
      <c r="C86" t="s">
        <v>22</v>
      </c>
      <c r="D86" t="s">
        <v>28</v>
      </c>
      <c r="E86" t="s">
        <v>32</v>
      </c>
      <c r="F86">
        <v>6</v>
      </c>
      <c r="G86" s="3">
        <v>1150000</v>
      </c>
      <c r="H86" s="4">
        <v>0.05</v>
      </c>
      <c r="I86" s="3">
        <f t="shared" si="1"/>
        <v>6555000</v>
      </c>
      <c r="J86" t="s">
        <v>30</v>
      </c>
      <c r="K86" t="s">
        <v>25</v>
      </c>
    </row>
    <row r="87" spans="1:11" x14ac:dyDescent="0.35">
      <c r="A87" t="s">
        <v>120</v>
      </c>
      <c r="B87" s="2">
        <v>46057</v>
      </c>
      <c r="C87" t="s">
        <v>12</v>
      </c>
      <c r="D87" t="s">
        <v>28</v>
      </c>
      <c r="E87" t="s">
        <v>29</v>
      </c>
      <c r="F87">
        <v>4</v>
      </c>
      <c r="G87" s="3">
        <v>700000</v>
      </c>
      <c r="H87" s="4">
        <v>0</v>
      </c>
      <c r="I87" s="3">
        <f t="shared" si="1"/>
        <v>2800000</v>
      </c>
      <c r="J87" t="s">
        <v>20</v>
      </c>
      <c r="K87" t="s">
        <v>16</v>
      </c>
    </row>
    <row r="88" spans="1:11" x14ac:dyDescent="0.35">
      <c r="A88" t="s">
        <v>121</v>
      </c>
      <c r="B88" s="2">
        <v>46047</v>
      </c>
      <c r="C88" t="s">
        <v>22</v>
      </c>
      <c r="D88" t="s">
        <v>34</v>
      </c>
      <c r="E88" t="s">
        <v>37</v>
      </c>
      <c r="F88">
        <v>8</v>
      </c>
      <c r="G88" s="3">
        <v>700000</v>
      </c>
      <c r="H88" s="4">
        <v>0</v>
      </c>
      <c r="I88" s="3">
        <f t="shared" si="1"/>
        <v>5600000</v>
      </c>
      <c r="J88" t="s">
        <v>15</v>
      </c>
      <c r="K88" t="s">
        <v>25</v>
      </c>
    </row>
    <row r="89" spans="1:11" x14ac:dyDescent="0.35">
      <c r="A89" t="s">
        <v>122</v>
      </c>
      <c r="B89" s="2">
        <v>46035</v>
      </c>
      <c r="C89" t="s">
        <v>12</v>
      </c>
      <c r="D89" t="s">
        <v>28</v>
      </c>
      <c r="E89" t="s">
        <v>37</v>
      </c>
      <c r="F89">
        <v>4</v>
      </c>
      <c r="G89" s="3">
        <v>350000</v>
      </c>
      <c r="H89" s="4">
        <v>0</v>
      </c>
      <c r="I89" s="3">
        <f t="shared" si="1"/>
        <v>1400000</v>
      </c>
      <c r="J89" t="s">
        <v>20</v>
      </c>
      <c r="K89" t="s">
        <v>16</v>
      </c>
    </row>
    <row r="90" spans="1:11" x14ac:dyDescent="0.35">
      <c r="A90" t="s">
        <v>123</v>
      </c>
      <c r="B90" s="2">
        <v>46058</v>
      </c>
      <c r="C90" t="s">
        <v>12</v>
      </c>
      <c r="D90" t="s">
        <v>49</v>
      </c>
      <c r="E90" t="s">
        <v>24</v>
      </c>
      <c r="F90">
        <v>5</v>
      </c>
      <c r="G90" s="3">
        <v>7800000</v>
      </c>
      <c r="H90" s="4">
        <v>0.15</v>
      </c>
      <c r="I90" s="3">
        <f t="shared" si="1"/>
        <v>33150000</v>
      </c>
      <c r="J90" t="s">
        <v>30</v>
      </c>
      <c r="K90" t="s">
        <v>16</v>
      </c>
    </row>
    <row r="91" spans="1:11" x14ac:dyDescent="0.35">
      <c r="A91" t="s">
        <v>124</v>
      </c>
      <c r="B91" s="2">
        <v>46024</v>
      </c>
      <c r="C91" t="s">
        <v>39</v>
      </c>
      <c r="D91" t="s">
        <v>13</v>
      </c>
      <c r="E91" t="s">
        <v>29</v>
      </c>
      <c r="F91">
        <v>8</v>
      </c>
      <c r="G91" s="3">
        <v>1050000</v>
      </c>
      <c r="H91" s="4">
        <v>0.05</v>
      </c>
      <c r="I91" s="3">
        <f t="shared" si="1"/>
        <v>7980000</v>
      </c>
      <c r="J91" t="s">
        <v>20</v>
      </c>
      <c r="K91" t="s">
        <v>25</v>
      </c>
    </row>
    <row r="92" spans="1:11" x14ac:dyDescent="0.35">
      <c r="A92" t="s">
        <v>125</v>
      </c>
      <c r="B92" s="2">
        <v>46084</v>
      </c>
      <c r="C92" t="s">
        <v>27</v>
      </c>
      <c r="D92" t="s">
        <v>19</v>
      </c>
      <c r="E92" t="s">
        <v>14</v>
      </c>
      <c r="F92">
        <v>2</v>
      </c>
      <c r="G92" s="3">
        <v>4400000</v>
      </c>
      <c r="H92" s="4">
        <v>0.05</v>
      </c>
      <c r="I92" s="3">
        <f t="shared" si="1"/>
        <v>8360000</v>
      </c>
      <c r="J92" t="s">
        <v>15</v>
      </c>
      <c r="K92" t="s">
        <v>16</v>
      </c>
    </row>
    <row r="93" spans="1:11" x14ac:dyDescent="0.35">
      <c r="A93" t="s">
        <v>126</v>
      </c>
      <c r="B93" s="2">
        <v>46042</v>
      </c>
      <c r="C93" t="s">
        <v>12</v>
      </c>
      <c r="D93" t="s">
        <v>19</v>
      </c>
      <c r="E93" t="s">
        <v>47</v>
      </c>
      <c r="F93">
        <v>5</v>
      </c>
      <c r="G93" s="3">
        <v>850000</v>
      </c>
      <c r="H93" s="4">
        <v>0</v>
      </c>
      <c r="I93" s="3">
        <f t="shared" si="1"/>
        <v>4250000</v>
      </c>
      <c r="J93" t="s">
        <v>15</v>
      </c>
      <c r="K93" t="s">
        <v>25</v>
      </c>
    </row>
    <row r="94" spans="1:11" x14ac:dyDescent="0.35">
      <c r="A94" t="s">
        <v>127</v>
      </c>
      <c r="B94" s="2">
        <v>46100</v>
      </c>
      <c r="C94" t="s">
        <v>27</v>
      </c>
      <c r="D94" t="s">
        <v>28</v>
      </c>
      <c r="E94" t="s">
        <v>37</v>
      </c>
      <c r="F94">
        <v>7</v>
      </c>
      <c r="G94" s="3">
        <v>550000</v>
      </c>
      <c r="H94" s="4">
        <v>0.05</v>
      </c>
      <c r="I94" s="3">
        <f t="shared" si="1"/>
        <v>3657500</v>
      </c>
      <c r="J94" t="s">
        <v>15</v>
      </c>
      <c r="K94" t="s">
        <v>25</v>
      </c>
    </row>
    <row r="95" spans="1:11" x14ac:dyDescent="0.35">
      <c r="A95" t="s">
        <v>128</v>
      </c>
      <c r="B95" s="2">
        <v>46062</v>
      </c>
      <c r="C95" t="s">
        <v>12</v>
      </c>
      <c r="D95" t="s">
        <v>28</v>
      </c>
      <c r="E95" t="s">
        <v>24</v>
      </c>
      <c r="F95">
        <v>2</v>
      </c>
      <c r="G95" s="3">
        <v>11400000</v>
      </c>
      <c r="H95" s="4">
        <v>0</v>
      </c>
      <c r="I95" s="3">
        <f t="shared" si="1"/>
        <v>22800000</v>
      </c>
      <c r="J95" t="s">
        <v>15</v>
      </c>
      <c r="K95" t="s">
        <v>16</v>
      </c>
    </row>
    <row r="96" spans="1:11" x14ac:dyDescent="0.35">
      <c r="A96" t="s">
        <v>129</v>
      </c>
      <c r="B96" s="2">
        <v>46043</v>
      </c>
      <c r="C96" t="s">
        <v>18</v>
      </c>
      <c r="D96" t="s">
        <v>23</v>
      </c>
      <c r="E96" t="s">
        <v>37</v>
      </c>
      <c r="F96">
        <v>2</v>
      </c>
      <c r="G96" s="3">
        <v>250000</v>
      </c>
      <c r="H96" s="4">
        <v>0</v>
      </c>
      <c r="I96" s="3">
        <f t="shared" si="1"/>
        <v>500000</v>
      </c>
      <c r="J96" t="s">
        <v>30</v>
      </c>
      <c r="K96" t="s">
        <v>25</v>
      </c>
    </row>
    <row r="97" spans="1:11" x14ac:dyDescent="0.35">
      <c r="A97" t="s">
        <v>130</v>
      </c>
      <c r="B97" s="2">
        <v>46060</v>
      </c>
      <c r="C97" t="s">
        <v>39</v>
      </c>
      <c r="D97" t="s">
        <v>49</v>
      </c>
      <c r="E97" t="s">
        <v>24</v>
      </c>
      <c r="F97">
        <v>5</v>
      </c>
      <c r="G97" s="3">
        <v>8950000</v>
      </c>
      <c r="H97" s="4">
        <v>0.15</v>
      </c>
      <c r="I97" s="3">
        <f t="shared" si="1"/>
        <v>38037500</v>
      </c>
      <c r="J97" t="s">
        <v>30</v>
      </c>
      <c r="K97" t="s">
        <v>16</v>
      </c>
    </row>
    <row r="98" spans="1:11" x14ac:dyDescent="0.35">
      <c r="A98" t="s">
        <v>131</v>
      </c>
      <c r="B98" s="2">
        <v>46110</v>
      </c>
      <c r="C98" t="s">
        <v>18</v>
      </c>
      <c r="D98" t="s">
        <v>34</v>
      </c>
      <c r="E98" t="s">
        <v>37</v>
      </c>
      <c r="F98">
        <v>4</v>
      </c>
      <c r="G98" s="3">
        <v>350000</v>
      </c>
      <c r="H98" s="4">
        <v>0.05</v>
      </c>
      <c r="I98" s="3">
        <f t="shared" si="1"/>
        <v>1330000</v>
      </c>
      <c r="J98" t="s">
        <v>20</v>
      </c>
      <c r="K98" t="s">
        <v>16</v>
      </c>
    </row>
    <row r="99" spans="1:11" x14ac:dyDescent="0.35">
      <c r="A99" t="s">
        <v>132</v>
      </c>
      <c r="B99" s="2">
        <v>46057</v>
      </c>
      <c r="C99" t="s">
        <v>39</v>
      </c>
      <c r="D99" t="s">
        <v>34</v>
      </c>
      <c r="E99" t="s">
        <v>47</v>
      </c>
      <c r="F99">
        <v>1</v>
      </c>
      <c r="G99" s="3">
        <v>300000</v>
      </c>
      <c r="H99" s="4">
        <v>0</v>
      </c>
      <c r="I99" s="3">
        <f t="shared" si="1"/>
        <v>300000</v>
      </c>
      <c r="J99" t="s">
        <v>15</v>
      </c>
      <c r="K99" t="s">
        <v>25</v>
      </c>
    </row>
    <row r="100" spans="1:11" x14ac:dyDescent="0.35">
      <c r="A100" t="s">
        <v>133</v>
      </c>
      <c r="B100" s="2">
        <v>46079</v>
      </c>
      <c r="C100" t="s">
        <v>27</v>
      </c>
      <c r="D100" t="s">
        <v>28</v>
      </c>
      <c r="E100" t="s">
        <v>14</v>
      </c>
      <c r="F100">
        <v>5</v>
      </c>
      <c r="G100" s="3">
        <v>3250000</v>
      </c>
      <c r="H100" s="4">
        <v>0.15</v>
      </c>
      <c r="I100" s="3">
        <f t="shared" si="1"/>
        <v>13812500</v>
      </c>
      <c r="J100" t="s">
        <v>15</v>
      </c>
      <c r="K100" t="s">
        <v>25</v>
      </c>
    </row>
    <row r="101" spans="1:11" x14ac:dyDescent="0.35">
      <c r="A101" t="s">
        <v>134</v>
      </c>
      <c r="B101" s="2">
        <v>46079</v>
      </c>
      <c r="C101" t="s">
        <v>39</v>
      </c>
      <c r="D101" t="s">
        <v>34</v>
      </c>
      <c r="E101" t="s">
        <v>14</v>
      </c>
      <c r="F101">
        <v>1</v>
      </c>
      <c r="G101" s="3">
        <v>3700000</v>
      </c>
      <c r="H101" s="4">
        <v>0.05</v>
      </c>
      <c r="I101" s="3">
        <f t="shared" si="1"/>
        <v>3515000</v>
      </c>
      <c r="J101" t="s">
        <v>30</v>
      </c>
      <c r="K101" t="s">
        <v>16</v>
      </c>
    </row>
  </sheetData>
  <autoFilter ref="A1:K1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769-47EE-4F75-AF72-A8E94173615B}">
  <dimension ref="A3:E19"/>
  <sheetViews>
    <sheetView topLeftCell="A3" workbookViewId="0">
      <selection activeCell="E4" sqref="E4"/>
    </sheetView>
  </sheetViews>
  <sheetFormatPr defaultRowHeight="14.5" x14ac:dyDescent="0.35"/>
  <cols>
    <col min="1" max="1" width="15.08984375" bestFit="1" customWidth="1"/>
    <col min="2" max="2" width="20.36328125" bestFit="1" customWidth="1"/>
    <col min="4" max="4" width="12.36328125" bestFit="1" customWidth="1"/>
    <col min="5" max="5" width="20.36328125" bestFit="1" customWidth="1"/>
  </cols>
  <sheetData>
    <row r="3" spans="1:5" x14ac:dyDescent="0.35">
      <c r="A3" s="5" t="s">
        <v>135</v>
      </c>
      <c r="B3" t="s">
        <v>136</v>
      </c>
      <c r="D3" s="5" t="s">
        <v>135</v>
      </c>
      <c r="E3" t="s">
        <v>136</v>
      </c>
    </row>
    <row r="4" spans="1:5" x14ac:dyDescent="0.35">
      <c r="A4" s="6" t="s">
        <v>18</v>
      </c>
      <c r="B4" s="3">
        <v>200202500</v>
      </c>
      <c r="D4" s="6" t="s">
        <v>137</v>
      </c>
      <c r="E4" s="3">
        <v>416700000</v>
      </c>
    </row>
    <row r="5" spans="1:5" x14ac:dyDescent="0.35">
      <c r="A5" s="6" t="s">
        <v>27</v>
      </c>
      <c r="B5" s="3">
        <v>230365000</v>
      </c>
      <c r="D5" s="6" t="s">
        <v>138</v>
      </c>
      <c r="E5" s="3">
        <v>491682500</v>
      </c>
    </row>
    <row r="6" spans="1:5" x14ac:dyDescent="0.35">
      <c r="A6" s="6" t="s">
        <v>22</v>
      </c>
      <c r="B6" s="3">
        <v>186390000</v>
      </c>
      <c r="D6" s="6" t="s">
        <v>139</v>
      </c>
      <c r="E6" s="3">
        <v>294992500</v>
      </c>
    </row>
    <row r="7" spans="1:5" x14ac:dyDescent="0.35">
      <c r="A7" s="6" t="s">
        <v>12</v>
      </c>
      <c r="B7" s="3">
        <v>249732500</v>
      </c>
    </row>
    <row r="8" spans="1:5" x14ac:dyDescent="0.35">
      <c r="A8" s="6" t="s">
        <v>39</v>
      </c>
      <c r="B8" s="3">
        <v>336685000</v>
      </c>
    </row>
    <row r="11" spans="1:5" x14ac:dyDescent="0.35">
      <c r="A11" s="5" t="s">
        <v>135</v>
      </c>
      <c r="B11" t="s">
        <v>136</v>
      </c>
    </row>
    <row r="12" spans="1:5" x14ac:dyDescent="0.35">
      <c r="A12" s="6" t="s">
        <v>24</v>
      </c>
      <c r="B12" s="3">
        <v>627527500</v>
      </c>
    </row>
    <row r="13" spans="1:5" x14ac:dyDescent="0.35">
      <c r="A13" s="6" t="s">
        <v>40</v>
      </c>
      <c r="B13" s="3">
        <v>207905000</v>
      </c>
    </row>
    <row r="14" spans="1:5" x14ac:dyDescent="0.35">
      <c r="A14" s="6" t="s">
        <v>14</v>
      </c>
      <c r="B14" s="3">
        <v>205127500</v>
      </c>
    </row>
    <row r="15" spans="1:5" x14ac:dyDescent="0.35">
      <c r="A15" s="6" t="s">
        <v>35</v>
      </c>
      <c r="B15" s="3">
        <v>49090000</v>
      </c>
    </row>
    <row r="16" spans="1:5" x14ac:dyDescent="0.35">
      <c r="A16" s="6" t="s">
        <v>29</v>
      </c>
      <c r="B16" s="3">
        <v>48060000</v>
      </c>
    </row>
    <row r="17" spans="1:2" x14ac:dyDescent="0.35">
      <c r="A17" s="6" t="s">
        <v>37</v>
      </c>
      <c r="B17" s="3">
        <v>38267500</v>
      </c>
    </row>
    <row r="18" spans="1:2" x14ac:dyDescent="0.35">
      <c r="A18" s="6" t="s">
        <v>47</v>
      </c>
      <c r="B18" s="3">
        <v>17037500</v>
      </c>
    </row>
    <row r="19" spans="1:2" x14ac:dyDescent="0.35">
      <c r="A19" s="6" t="s">
        <v>32</v>
      </c>
      <c r="B19" s="3">
        <v>10360000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0DAE-E882-4842-B532-1BFDC9DF99DA}">
  <dimension ref="A1:L37"/>
  <sheetViews>
    <sheetView showGridLines="0" tabSelected="1" zoomScale="52" zoomScaleNormal="100" workbookViewId="0">
      <selection activeCell="P13" sqref="P13"/>
    </sheetView>
  </sheetViews>
  <sheetFormatPr defaultRowHeight="14" x14ac:dyDescent="0.3"/>
  <cols>
    <col min="1" max="16384" width="8.7265625" style="7"/>
  </cols>
  <sheetData>
    <row r="1" spans="1:12" x14ac:dyDescent="0.3">
      <c r="A1" s="8" t="s">
        <v>140</v>
      </c>
      <c r="B1" s="8"/>
      <c r="C1" s="8"/>
      <c r="D1" s="8"/>
      <c r="E1" s="8"/>
      <c r="F1" s="8"/>
      <c r="G1" s="8"/>
      <c r="H1" s="8"/>
      <c r="I1" s="8"/>
      <c r="J1" s="8"/>
      <c r="K1" s="8"/>
      <c r="L1" s="8"/>
    </row>
    <row r="2" spans="1:12" ht="29" customHeight="1" x14ac:dyDescent="0.3">
      <c r="A2" s="8"/>
      <c r="B2" s="8"/>
      <c r="C2" s="8"/>
      <c r="D2" s="8"/>
      <c r="E2" s="8"/>
      <c r="F2" s="8"/>
      <c r="G2" s="8"/>
      <c r="H2" s="8"/>
      <c r="I2" s="8"/>
      <c r="J2" s="8"/>
      <c r="K2" s="8"/>
      <c r="L2" s="8"/>
    </row>
    <row r="4" spans="1:12" ht="23" customHeight="1" x14ac:dyDescent="0.3">
      <c r="A4" s="9" t="s">
        <v>141</v>
      </c>
      <c r="B4" s="9"/>
      <c r="C4" s="9"/>
      <c r="D4" s="9" t="s">
        <v>143</v>
      </c>
      <c r="E4" s="9"/>
      <c r="F4" s="9"/>
      <c r="G4" s="9" t="s">
        <v>144</v>
      </c>
      <c r="H4" s="9"/>
      <c r="I4" s="9"/>
      <c r="J4" s="9" t="s">
        <v>145</v>
      </c>
      <c r="K4" s="9"/>
      <c r="L4" s="9"/>
    </row>
    <row r="5" spans="1:12" ht="22" customHeight="1" x14ac:dyDescent="0.3">
      <c r="A5" s="11" t="s">
        <v>142</v>
      </c>
      <c r="B5" s="11"/>
      <c r="C5" s="11"/>
      <c r="D5" s="10">
        <v>100</v>
      </c>
      <c r="E5" s="10"/>
      <c r="F5" s="10"/>
      <c r="G5" s="10" t="s">
        <v>24</v>
      </c>
      <c r="H5" s="10"/>
      <c r="I5" s="10"/>
      <c r="J5" s="10" t="s">
        <v>39</v>
      </c>
      <c r="K5" s="10"/>
      <c r="L5" s="10"/>
    </row>
    <row r="34" spans="1:12" x14ac:dyDescent="0.3">
      <c r="A34" s="12" t="s">
        <v>146</v>
      </c>
      <c r="B34" s="12"/>
      <c r="C34" s="12"/>
      <c r="D34" s="12"/>
      <c r="E34" s="12"/>
      <c r="F34" s="12"/>
      <c r="G34" s="12"/>
      <c r="H34" s="12"/>
      <c r="I34" s="12"/>
      <c r="J34" s="12"/>
      <c r="K34" s="12"/>
      <c r="L34" s="12"/>
    </row>
    <row r="35" spans="1:12" x14ac:dyDescent="0.3">
      <c r="A35" s="12"/>
      <c r="B35" s="12"/>
      <c r="C35" s="12"/>
      <c r="D35" s="12"/>
      <c r="E35" s="12"/>
      <c r="F35" s="12"/>
      <c r="G35" s="12"/>
      <c r="H35" s="12"/>
      <c r="I35" s="12"/>
      <c r="J35" s="12"/>
      <c r="K35" s="12"/>
      <c r="L35" s="12"/>
    </row>
    <row r="36" spans="1:12" x14ac:dyDescent="0.3">
      <c r="A36" s="12"/>
      <c r="B36" s="12"/>
      <c r="C36" s="12"/>
      <c r="D36" s="12"/>
      <c r="E36" s="12"/>
      <c r="F36" s="12"/>
      <c r="G36" s="12"/>
      <c r="H36" s="12"/>
      <c r="I36" s="12"/>
      <c r="J36" s="12"/>
      <c r="K36" s="12"/>
      <c r="L36" s="12"/>
    </row>
    <row r="37" spans="1:12" x14ac:dyDescent="0.3">
      <c r="A37" s="12"/>
      <c r="B37" s="12"/>
      <c r="C37" s="12"/>
      <c r="D37" s="12"/>
      <c r="E37" s="12"/>
      <c r="F37" s="12"/>
      <c r="G37" s="12"/>
      <c r="H37" s="12"/>
      <c r="I37" s="12"/>
      <c r="J37" s="12"/>
      <c r="K37" s="12"/>
      <c r="L37" s="12"/>
    </row>
  </sheetData>
  <mergeCells count="10">
    <mergeCell ref="J5:L5"/>
    <mergeCell ref="G5:I5"/>
    <mergeCell ref="D5:F5"/>
    <mergeCell ref="A5:C5"/>
    <mergeCell ref="A34:L37"/>
    <mergeCell ref="A1:L2"/>
    <mergeCell ref="A4:C4"/>
    <mergeCell ref="D4:F4"/>
    <mergeCell ref="G4:I4"/>
    <mergeCell ref="J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Penjualan</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 lenovo</cp:lastModifiedBy>
  <dcterms:created xsi:type="dcterms:W3CDTF">2026-09-04T13:30:19Z</dcterms:created>
  <dcterms:modified xsi:type="dcterms:W3CDTF">2026-09-10T07:50:10Z</dcterms:modified>
</cp:coreProperties>
</file>